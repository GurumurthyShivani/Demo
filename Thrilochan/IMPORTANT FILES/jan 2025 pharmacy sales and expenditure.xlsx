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8324"/>
  <workbookPr codeName="ThisWorkbook"/>
  <bookViews>
    <workbookView xWindow="-110" yWindow="-110" windowWidth="19420" windowHeight="10300"/>
  </bookViews>
  <sheets>
    <sheet name="Sheet1" sheetId="1" r:id="rId1"/>
  </sheets>
  <calcPr fullPrecision="1"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<sst xmlns="http://schemas.openxmlformats.org/spreadsheetml/2006/main" uniqueCount="31" count="43">
  <si>
    <t>SL  NO</t>
  </si>
  <si>
    <t>DATE</t>
  </si>
  <si>
    <t>PAID AMOUNT</t>
  </si>
  <si>
    <t>CASH</t>
  </si>
  <si>
    <t>CARD</t>
  </si>
  <si>
    <t>ONLINE</t>
  </si>
  <si>
    <t>EXPENDITURE</t>
  </si>
  <si>
    <t>HR MADAM</t>
  </si>
  <si>
    <t>TOTAL</t>
  </si>
  <si>
    <t>TOTAL BALANCE</t>
  </si>
  <si>
    <t>TOTL CUMMU</t>
  </si>
  <si>
    <t>13/1/2025</t>
  </si>
  <si>
    <t>14/1/2025</t>
  </si>
  <si>
    <t>15/1/2025</t>
  </si>
  <si>
    <t>16/1/2025</t>
  </si>
  <si>
    <t>17/1/2025</t>
  </si>
  <si>
    <t>18/1/2025</t>
  </si>
  <si>
    <t>19/1/2025</t>
  </si>
  <si>
    <t>20/1/2025</t>
  </si>
  <si>
    <t>21/1/2025</t>
  </si>
  <si>
    <t>22/1/2025</t>
  </si>
  <si>
    <t>23/1/2025</t>
  </si>
  <si>
    <t>24/1/2025</t>
  </si>
  <si>
    <t>25/1/2025</t>
  </si>
  <si>
    <t>26/1/2025</t>
  </si>
  <si>
    <t>RETUNS</t>
  </si>
  <si>
    <t>ARVIND+ORS</t>
  </si>
  <si>
    <t>MISSL</t>
  </si>
  <si>
    <t>BONE MARROW INJ</t>
  </si>
  <si>
    <t>AAHA</t>
  </si>
  <si>
    <t>AMBULENCE+CC CEMARA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</si>
</sst>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1"/>
      <color theme="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u val="single"/>
      <sz val="11"/>
      <color rgb="FF000000"/>
      <name val="Calibri"/>
      <family val="2"/>
      <charset val="0"/>
    </font>
    <font>
      <sz val="11"/>
      <color theme="1"/>
      <name val="Calibri"/>
      <family val="2"/>
      <charset val="0"/>
      <scheme val="minor"/>
    </font>
    <font>
      <u val="single"/>
      <sz val="11"/>
      <color indexed="12"/>
      <name val="Calibri"/>
      <family val="2"/>
      <charset val="0"/>
    </font>
    <font>
      <sz val="11"/>
      <color rgb="FF2B579A"/>
      <name val="Calibri"/>
      <family val="2"/>
      <charset val="0"/>
    </font>
    <font>
      <b/>
      <sz val="11"/>
      <color rgb="FF2B579A"/>
      <name val="Calibri"/>
      <family val="2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E7E7E7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2B579A"/>
      </right>
      <top/>
      <bottom style="medium">
        <color rgb="FF2B579A"/>
      </bottom>
      <diagonal/>
    </border>
  </borders>
  <cellStyleXfs count="8">
    <xf numFmtId="0" fontId="0" fillId="0" borderId="0"/>
    <xf numFmtId="0" fontId="0" fillId="0" borderId="0"/>
    <xf numFmtId="0" fontId="7" fillId="2" borderId="1">
      <alignment horizontal="center" vertical="center"/>
    </xf>
    <xf numFmtId="0" fontId="5" fillId="0" borderId="0" applyAlignment="0" applyBorder="0" applyNumberFormat="0" applyFill="0" applyProtection="0"/>
  </cellStyleXfs>
  <cellXfs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4">
    <cellStyle name="Normal" xfId="0" builtinId="0"/>
    <cellStyle name="ConditionalFormatStyle" xfId="1"/>
    <cellStyle name="HeaderStyle" xfId="2"/>
    <cellStyle name="Hyperlink" xfId="3" builtinId="8"/>
  </cellStyles>
  <dxfs xmlns="http://schemas.openxmlformats.org/spreadsheetml/2006/main" count="0"/>
  <tableStyles xmlns="http://schemas.openxmlformats.org/spreadsheetml/2006/main"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N31"/>
  <sheetViews>
    <sheetView topLeftCell="A9" zoomScale="109" view="normal" tabSelected="1" workbookViewId="0">
      <selection pane="topLeft" activeCell="K23" sqref="K23"/>
    </sheetView>
  </sheetViews>
  <sheetFormatPr defaultRowHeight="14.5"/>
  <cols>
    <col min="2" max="2" width="10.66015625" bestFit="1" customWidth="1"/>
    <col min="3" max="3" width="13.16015625" style="3" bestFit="1" customWidth="1"/>
    <col min="11" max="11" width="12.33203125" bestFit="1" customWidth="1"/>
    <col min="12" max="12" width="10.66015625" bestFit="1" customWidth="1"/>
    <col min="13" max="13" width="14.33203125" bestFit="1" customWidth="1"/>
  </cols>
  <sheetData>
    <row r="1" spans="1:14">
      <c r="A1" t="s">
        <v>0</v>
      </c>
      <c r="B1" t="s">
        <v>1</v>
      </c>
      <c r="C1" s="3" t="s">
        <v>2</v>
      </c>
      <c r="E1" t="s">
        <v>3</v>
      </c>
      <c r="F1" t="s">
        <v>4</v>
      </c>
      <c r="G1" t="s">
        <v>5</v>
      </c>
      <c r="H1" t="s">
        <v>8</v>
      </c>
      <c r="K1" t="s">
        <v>6</v>
      </c>
      <c r="M1" t="s">
        <v>9</v>
      </c>
      <c r="N1" t="s">
        <v>10</v>
      </c>
    </row>
    <row r="2" ht="15"/>
    <row r="3" spans="2:14">
      <c r="B3" s="1">
        <v>45658</v>
      </c>
      <c r="C3" s="3">
        <v>18333.89</v>
      </c>
      <c r="E3">
        <v>7540</v>
      </c>
      <c r="F3">
        <v>3808</v>
      </c>
      <c r="G3">
        <v>6984</v>
      </c>
      <c r="H3" s="2">
        <f ca="1">E3+F3+G3+0</f>
        <v>18332</v>
      </c>
      <c r="K3">
        <f ca="1">1000+1720+500+1910</f>
        <v>5130</v>
      </c>
      <c r="M3">
        <f ca="1">E3-K3</f>
        <v>2410</v>
      </c>
      <c r="N3">
        <f ca="1">M3</f>
        <v>2410</v>
      </c>
    </row>
    <row r="4" spans="2:14">
      <c r="B4" s="1">
        <v>45689</v>
      </c>
      <c r="C4" s="3">
        <v>32904.67</v>
      </c>
      <c r="E4">
        <v>25985.63</v>
      </c>
      <c r="F4">
        <v>3108.85</v>
      </c>
      <c r="G4">
        <v>3810.19</v>
      </c>
      <c r="H4" s="2">
        <f ca="1">E4+F4+G4+0</f>
        <v>32904.67</v>
      </c>
      <c r="K4">
        <f ca="1">20000+5940</f>
        <v>25940</v>
      </c>
      <c r="L4" t="s">
        <v>7</v>
      </c>
      <c r="M4">
        <f ca="1">E4-K4</f>
        <v>45.630000000001019</v>
      </c>
      <c r="N4">
        <f ca="1">N3+M4</f>
        <v>2455.630000000001</v>
      </c>
    </row>
    <row r="5" spans="2:14">
      <c r="B5" s="1">
        <v>45717</v>
      </c>
      <c r="C5" s="3">
        <v>6919.04</v>
      </c>
      <c r="E5">
        <v>3924.82</v>
      </c>
      <c r="F5">
        <v>1029.11</v>
      </c>
      <c r="G5">
        <v>1965.11</v>
      </c>
      <c r="H5" s="2">
        <f ca="1">E5+F5+G5+0</f>
        <v>6919.04</v>
      </c>
      <c r="K5">
        <v>1320</v>
      </c>
      <c r="L5" t="s">
        <v>7</v>
      </c>
      <c r="M5">
        <f ca="1">E5-K5</f>
        <v>2604.82</v>
      </c>
      <c r="N5">
        <f ca="1">N4+M5</f>
        <v>5060.4500000000007</v>
      </c>
    </row>
    <row r="6" spans="2:14">
      <c r="B6" s="1">
        <v>45748</v>
      </c>
      <c r="C6" s="3">
        <v>16606.4</v>
      </c>
      <c r="E6">
        <v>10306</v>
      </c>
      <c r="F6">
        <v>0</v>
      </c>
      <c r="G6">
        <v>6300.4</v>
      </c>
      <c r="H6" s="2">
        <f ca="1">E6+F6+G6+0</f>
        <v>16606.4</v>
      </c>
      <c r="K6">
        <f ca="1">1320+2300+1690+0</f>
        <v>5310</v>
      </c>
      <c r="L6" t="s">
        <v>7</v>
      </c>
      <c r="M6">
        <f ca="1">E6-K6</f>
        <v>4996</v>
      </c>
      <c r="N6">
        <f ca="1">N5+M6</f>
        <v>10056.45</v>
      </c>
    </row>
    <row r="7" spans="2:14">
      <c r="B7" s="1">
        <v>45778</v>
      </c>
      <c r="C7" s="3">
        <v>11633.27</v>
      </c>
      <c r="E7">
        <v>7254.61</v>
      </c>
      <c r="F7">
        <v>818.93</v>
      </c>
      <c r="G7">
        <v>3559.73</v>
      </c>
      <c r="H7" s="2">
        <f ca="1">E7+F7+G7+0</f>
        <v>11633.27</v>
      </c>
      <c r="K7">
        <v>100</v>
      </c>
      <c r="M7">
        <f ca="1">E7-K7</f>
        <v>7154.61</v>
      </c>
      <c r="N7">
        <f ca="1">N6+M7</f>
        <v>17211.06</v>
      </c>
    </row>
    <row r="8" spans="2:14">
      <c r="B8" s="1">
        <v>45809</v>
      </c>
      <c r="C8" s="3">
        <v>10017.34</v>
      </c>
      <c r="E8">
        <v>553.05</v>
      </c>
      <c r="F8">
        <v>3644.27</v>
      </c>
      <c r="G8">
        <v>5829.02</v>
      </c>
      <c r="H8" s="2">
        <f ca="1">E8+F8+G8+0</f>
        <v>10026.34</v>
      </c>
      <c r="M8">
        <f ca="1">E8-K8</f>
        <v>553.05</v>
      </c>
      <c r="N8">
        <f ca="1">N7+M8</f>
        <v>17764.11</v>
      </c>
    </row>
    <row r="9" spans="2:14">
      <c r="B9" s="1">
        <v>45839</v>
      </c>
      <c r="C9" s="3">
        <v>3146.59</v>
      </c>
      <c r="E9">
        <v>298.22</v>
      </c>
      <c r="F9">
        <v>1293.5</v>
      </c>
      <c r="G9">
        <v>1554.87</v>
      </c>
      <c r="H9" s="2">
        <f ca="1">E9+F9+G9+0</f>
        <v>3146.59</v>
      </c>
      <c r="K9">
        <v>300</v>
      </c>
      <c r="L9" t="s">
        <v>7</v>
      </c>
      <c r="M9">
        <f ca="1">E9-K9</f>
        <v>-1.7799999999999727</v>
      </c>
      <c r="N9">
        <f ca="1">N8+M9</f>
        <v>17762.33</v>
      </c>
    </row>
    <row r="10" spans="2:14">
      <c r="B10" s="1">
        <v>45870</v>
      </c>
      <c r="C10" s="3">
        <v>32583.86</v>
      </c>
      <c r="E10">
        <v>2276.74</v>
      </c>
      <c r="F10">
        <v>5853.36</v>
      </c>
      <c r="G10">
        <v>24453.76</v>
      </c>
      <c r="H10" s="2">
        <f ca="1">E10+F10+G10+0</f>
        <v>32583.859999999997</v>
      </c>
      <c r="K10">
        <v>3000</v>
      </c>
      <c r="L10" t="s">
        <v>7</v>
      </c>
      <c r="M10">
        <f ca="1">E10-K10</f>
        <v>-723.26000000000022</v>
      </c>
      <c r="N10">
        <f ca="1">N9+M10</f>
        <v>17039.07</v>
      </c>
    </row>
    <row r="11" spans="2:14">
      <c r="B11" s="1">
        <v>45901</v>
      </c>
      <c r="C11" s="3">
        <v>8616.01</v>
      </c>
      <c r="E11">
        <v>2335.52</v>
      </c>
      <c r="F11">
        <v>4502.02</v>
      </c>
      <c r="G11">
        <v>1778.47</v>
      </c>
      <c r="H11" s="2">
        <f ca="1">E11+F11+G11+0</f>
        <v>8616.01</v>
      </c>
      <c r="K11">
        <v>2300</v>
      </c>
      <c r="L11" t="s">
        <v>7</v>
      </c>
      <c r="M11">
        <f ca="1">E11-K11</f>
        <v>35.519999999999982</v>
      </c>
      <c r="N11">
        <f ca="1">N10+M11</f>
        <v>17074.59</v>
      </c>
    </row>
    <row r="12" spans="2:14">
      <c r="B12" s="1">
        <v>45931</v>
      </c>
      <c r="E12">
        <v>1134</v>
      </c>
      <c r="F12">
        <v>13588</v>
      </c>
      <c r="G12">
        <v>600</v>
      </c>
      <c r="H12" s="2">
        <f ca="1">E12+F12+G12+0</f>
        <v>15322</v>
      </c>
      <c r="K12">
        <v>348</v>
      </c>
      <c r="L12" t="s">
        <v>29</v>
      </c>
      <c r="M12">
        <f ca="1">E12-K12</f>
        <v>786</v>
      </c>
      <c r="N12">
        <f ca="1">N11+M12</f>
        <v>17860.59</v>
      </c>
    </row>
    <row r="13" spans="2:14">
      <c r="B13" s="1">
        <v>45962</v>
      </c>
      <c r="E13">
        <v>2490</v>
      </c>
      <c r="F13">
        <v>16334</v>
      </c>
      <c r="G13">
        <v>2816</v>
      </c>
      <c r="H13" s="2">
        <f ca="1">E13+F13+G13+0</f>
        <v>21640</v>
      </c>
      <c r="K13">
        <v>1500</v>
      </c>
      <c r="L13" t="s">
        <v>28</v>
      </c>
      <c r="M13">
        <f ca="1">E13-K13</f>
        <v>990</v>
      </c>
      <c r="N13">
        <f ca="1">N12+M13</f>
        <v>18850.59</v>
      </c>
    </row>
    <row r="14" spans="2:14">
      <c r="B14" s="1">
        <v>45992</v>
      </c>
      <c r="C14" s="3">
        <v>11979</v>
      </c>
      <c r="E14">
        <v>2090</v>
      </c>
      <c r="F14">
        <v>5247</v>
      </c>
      <c r="G14">
        <v>4642</v>
      </c>
      <c r="H14" s="2">
        <f ca="1">E14+F14+G14+0</f>
        <v>11979</v>
      </c>
      <c r="K14">
        <v>975</v>
      </c>
      <c r="L14" t="s">
        <v>25</v>
      </c>
      <c r="M14">
        <f ca="1">E14-K14</f>
        <v>1115</v>
      </c>
      <c r="N14">
        <f ca="1">N13+M14</f>
        <v>19965.59</v>
      </c>
    </row>
    <row r="15" spans="2:14">
      <c r="B15" s="1" t="s">
        <v>11</v>
      </c>
      <c r="C15" s="3">
        <v>14267</v>
      </c>
      <c r="E15">
        <v>12530</v>
      </c>
      <c r="F15">
        <v>0</v>
      </c>
      <c r="G15">
        <v>1736</v>
      </c>
      <c r="H15" s="2">
        <f ca="1">E15+F15+G15+0</f>
        <v>14266</v>
      </c>
      <c r="K15">
        <v>25000</v>
      </c>
      <c r="L15" t="s">
        <v>7</v>
      </c>
      <c r="M15">
        <f ca="1">E15-K15</f>
        <v>-12470</v>
      </c>
      <c r="N15">
        <f ca="1">N14+M15</f>
        <v>7495.59</v>
      </c>
    </row>
    <row r="16" spans="2:14">
      <c r="B16" s="1" t="s">
        <v>12</v>
      </c>
      <c r="C16" s="3">
        <v>8532</v>
      </c>
      <c r="E16">
        <v>5226</v>
      </c>
      <c r="F16">
        <v>2716</v>
      </c>
      <c r="G16">
        <v>420</v>
      </c>
      <c r="H16" s="2">
        <f ca="1">E16+F16+G16+0</f>
        <v>8362</v>
      </c>
      <c r="K16">
        <v>170</v>
      </c>
      <c r="L16" t="s">
        <v>25</v>
      </c>
      <c r="M16">
        <f ca="1">E16-K16</f>
        <v>5056</v>
      </c>
      <c r="N16">
        <f ca="1">N15+M16</f>
        <v>12551.59</v>
      </c>
    </row>
    <row r="17" spans="2:14">
      <c r="B17" s="1" t="s">
        <v>13</v>
      </c>
      <c r="C17" s="3">
        <v>9666</v>
      </c>
      <c r="E17">
        <v>7185</v>
      </c>
      <c r="F17">
        <v>213</v>
      </c>
      <c r="G17">
        <v>2266</v>
      </c>
      <c r="H17" s="2">
        <f ca="1">E17+F17+G17+0</f>
        <v>9664</v>
      </c>
      <c r="K17">
        <v>1470</v>
      </c>
      <c r="L17" t="s">
        <v>25</v>
      </c>
      <c r="M17">
        <f ca="1">E17-K17</f>
        <v>5715</v>
      </c>
      <c r="N17">
        <f ca="1">N16+M17</f>
        <v>18266.59</v>
      </c>
    </row>
    <row r="18" spans="2:14">
      <c r="B18" s="1" t="s">
        <v>14</v>
      </c>
      <c r="C18" s="3">
        <v>8036</v>
      </c>
      <c r="E18">
        <v>5788</v>
      </c>
      <c r="F18">
        <v>843</v>
      </c>
      <c r="G18">
        <v>1404</v>
      </c>
      <c r="H18" s="2">
        <f ca="1">E18+F18+G18+0</f>
        <v>8035</v>
      </c>
      <c r="K18">
        <f ca="1">11961+1470+0</f>
        <v>13431</v>
      </c>
      <c r="L18" t="s">
        <v>26</v>
      </c>
      <c r="M18">
        <f ca="1">E18-K18</f>
        <v>-7643</v>
      </c>
      <c r="N18">
        <f ca="1">N17+M18</f>
        <v>10623.59</v>
      </c>
    </row>
    <row r="19" spans="2:14">
      <c r="B19" s="1" t="s">
        <v>15</v>
      </c>
      <c r="C19" s="3">
        <v>15392</v>
      </c>
      <c r="E19">
        <v>13802</v>
      </c>
      <c r="F19">
        <v>0</v>
      </c>
      <c r="G19">
        <v>1590</v>
      </c>
      <c r="H19" s="2">
        <f ca="1">E19+F19+G19+0</f>
        <v>15392</v>
      </c>
      <c r="K19">
        <v>655</v>
      </c>
      <c r="L19" t="s">
        <v>7</v>
      </c>
      <c r="M19">
        <f ca="1">E19-K19</f>
        <v>13147</v>
      </c>
      <c r="N19">
        <f ca="1">N18+M19</f>
        <v>23770.59</v>
      </c>
    </row>
    <row r="20" spans="2:14">
      <c r="B20" s="1" t="s">
        <v>16</v>
      </c>
      <c r="C20" s="3">
        <v>16588</v>
      </c>
      <c r="E20">
        <v>6254</v>
      </c>
      <c r="F20">
        <v>0</v>
      </c>
      <c r="G20">
        <v>10334</v>
      </c>
      <c r="H20" s="2">
        <f ca="1">E20+F20+G20+0</f>
        <v>16588</v>
      </c>
      <c r="K20">
        <f ca="1">1050</f>
        <v>1050</v>
      </c>
      <c r="L20" t="s">
        <v>27</v>
      </c>
      <c r="M20">
        <f ca="1">E20-K20</f>
        <v>5204</v>
      </c>
      <c r="N20">
        <f ca="1">N19+M20</f>
        <v>28974.59</v>
      </c>
    </row>
    <row r="21" spans="2:14">
      <c r="B21" s="1" t="s">
        <v>17</v>
      </c>
      <c r="C21" s="3">
        <v>3932</v>
      </c>
      <c r="E21">
        <v>920</v>
      </c>
      <c r="F21">
        <v>0</v>
      </c>
      <c r="G21">
        <v>3062</v>
      </c>
      <c r="H21" s="2">
        <f ca="1">E21+F21+G21+0</f>
        <v>3982</v>
      </c>
      <c r="K21">
        <f ca="1">50+16000</f>
        <v>16050</v>
      </c>
      <c r="L21" t="s">
        <v>7</v>
      </c>
      <c r="M21">
        <f ca="1">E21-K21</f>
        <v>-15130</v>
      </c>
      <c r="N21">
        <f ca="1">N20+M21</f>
        <v>13844.59</v>
      </c>
    </row>
    <row r="22" spans="8:14">
      <c r="H22" s="2"/>
      <c r="K22">
        <v>11000</v>
      </c>
      <c r="L22" t="s">
        <v>30</v>
      </c>
      <c r="M22">
        <f ca="1">E22-K22</f>
        <v>-11000</v>
      </c>
      <c r="N22">
        <f ca="1">N21+M22</f>
        <v>2844.59</v>
      </c>
    </row>
    <row r="23" spans="2:14">
      <c r="B23" s="1" t="s">
        <v>8</v>
      </c>
      <c r="C23" s="2">
        <f ca="1">SUM(C2:C22)</f>
        <v>229153.07</v>
      </c>
      <c r="D23" s="2">
        <f ca="1">SUM(D2:D22)</f>
        <v>0</v>
      </c>
      <c r="E23" s="2">
        <f ca="1">SUM(E2:E22)</f>
        <v>117893.59</v>
      </c>
      <c r="F23" s="2">
        <f ca="1">SUM(F2:F22)</f>
        <v>62999.04</v>
      </c>
      <c r="G23" s="2">
        <f ca="1">SUM(G2:G22)</f>
        <v>85105.55</v>
      </c>
      <c r="H23" s="2"/>
      <c r="K23" s="2">
        <f ca="1">SUM(K2:K22)</f>
        <v>115049</v>
      </c>
      <c r="M23" s="3">
        <v>0</v>
      </c>
      <c r="N23">
        <f ca="1">N22+M23</f>
        <v>2844.59</v>
      </c>
    </row>
    <row r="24" spans="2:14">
      <c r="B24" s="1" t="s">
        <v>18</v>
      </c>
      <c r="H24" s="2"/>
      <c r="M24">
        <f ca="1">E24-K24</f>
        <v>0</v>
      </c>
      <c r="N24">
        <f ca="1">N23+M24</f>
        <v>2844.59</v>
      </c>
    </row>
    <row r="25" spans="2:14">
      <c r="B25" s="1" t="s">
        <v>19</v>
      </c>
      <c r="H25" s="2">
        <f ca="1">E25+F25+G25+0</f>
        <v>0</v>
      </c>
      <c r="M25">
        <f ca="1">E25-K25</f>
        <v>0</v>
      </c>
      <c r="N25">
        <f ca="1">N24+M25</f>
        <v>2844.59</v>
      </c>
    </row>
    <row r="26" spans="2:14">
      <c r="B26" s="1" t="s">
        <v>20</v>
      </c>
      <c r="H26" s="2">
        <f ca="1">E26+F26+G26+0</f>
        <v>0</v>
      </c>
      <c r="M26">
        <f ca="1">E26-K26</f>
        <v>0</v>
      </c>
      <c r="N26">
        <f ca="1">N25+M26</f>
        <v>2844.59</v>
      </c>
    </row>
    <row r="27" spans="2:14">
      <c r="B27" s="1" t="s">
        <v>21</v>
      </c>
      <c r="H27" s="2">
        <f ca="1">E27+F27+G27+0</f>
        <v>0</v>
      </c>
      <c r="M27">
        <f ca="1">E27-K27</f>
        <v>0</v>
      </c>
      <c r="N27">
        <f ca="1">N26+M27</f>
        <v>2844.59</v>
      </c>
    </row>
    <row r="28" spans="2:14">
      <c r="B28" s="1" t="s">
        <v>22</v>
      </c>
      <c r="H28" s="2">
        <f ca="1">E28+F28+G28+0</f>
        <v>0</v>
      </c>
      <c r="M28">
        <f ca="1">E28-K28</f>
        <v>0</v>
      </c>
      <c r="N28">
        <f ca="1">N27+M28</f>
        <v>2844.59</v>
      </c>
    </row>
    <row r="29" spans="2:2">
      <c r="B29" s="1" t="s">
        <v>23</v>
      </c>
    </row>
    <row r="30" spans="2:2">
      <c r="B30" s="1" t="s">
        <v>24</v>
      </c>
    </row>
    <row r="31" spans="2:2">
      <c r="B31" s="1" t="s">
        <v>18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Company/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shivani gurumurthy</dc:creator>
  <cp:lastModifiedBy>shivani gurumurthy</cp:lastModifiedBy>
  <dcterms:created xsi:type="dcterms:W3CDTF">2015-06-05T18:17:20Z</dcterms:created>
  <dcterms:modified xsi:type="dcterms:W3CDTF">2025-01-20T16:38:56Z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