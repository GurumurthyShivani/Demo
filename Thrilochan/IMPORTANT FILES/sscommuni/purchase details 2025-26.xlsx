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5"/>
  </bookViews>
  <sheets>
    <sheet name="APRIL2025" sheetId="1" r:id="rId1"/>
    <sheet name="MAY2025" sheetId="2" r:id="rId2"/>
    <sheet name="June 2025" sheetId="3" r:id="rId3"/>
    <sheet name="JULY 2025" sheetId="4" r:id="rId4"/>
    <sheet name="SUMMARY OF PENDING BILLS" sheetId="5" r:id="rId5"/>
    <sheet name="aprilo to june" sheetId="6" r:id="rId6"/>
  </sheets>
  <definedNames>
    <definedName name="_xlnm._FilterDatabase" localSheetId="0" hidden="1">APRIL2025!$A$1:$I$66</definedName>
    <definedName name="_xlnm._FilterDatabase" localSheetId="5" hidden="1">'aprilo to june'!$A$1:$I$128</definedName>
    <definedName name="_xlnm._FilterDatabase" localSheetId="2" hidden="1">'June 2025'!$A$1:$M$30</definedName>
    <definedName name="_xlnm._FilterDatabase" localSheetId="1" hidden="1">'MAY2025'!$A$1:$I$39</definedName>
    <definedName name="_xlnm._FilterDatabase" localSheetId="4" hidden="1">'SUMMARY OF PENDING BILLS'!$A$1:$G$22</definedName>
    <definedName name="_xlnm.Print_Area" localSheetId="5">'aprilo to june'!$A$1:$I$130</definedName>
    <definedName name="_xlnm.Print_Area" localSheetId="4">'SUMMARY OF PENDING BILLS'!$A$1:$F$23</definedName>
  </definedNames>
  <calcPr calcId="124519"/>
</workbook>
</file>

<file path=xl/calcChain.xml><?xml version="1.0" encoding="utf-8"?>
<calcChain xmlns="http://schemas.openxmlformats.org/spreadsheetml/2006/main">
  <c r="C17" i="5"/>
  <c r="D11"/>
  <c r="D8"/>
  <c r="D5"/>
  <c r="D22" s="1"/>
  <c r="E21"/>
  <c r="E20"/>
  <c r="E19"/>
  <c r="E17"/>
  <c r="E16"/>
  <c r="E15"/>
  <c r="E14"/>
  <c r="E13"/>
  <c r="E12"/>
  <c r="E11"/>
  <c r="E10"/>
  <c r="E9"/>
  <c r="E8"/>
  <c r="E7"/>
  <c r="E6"/>
  <c r="E5"/>
  <c r="E4"/>
  <c r="E3"/>
  <c r="E2"/>
  <c r="E18"/>
  <c r="H127" i="6"/>
  <c r="H129" s="1"/>
  <c r="E127"/>
  <c r="E129" s="1"/>
  <c r="C11" i="5"/>
  <c r="C22" s="1"/>
  <c r="E41" i="2"/>
  <c r="E93" s="1"/>
  <c r="E135" s="1"/>
  <c r="E137" s="1"/>
  <c r="E138" s="1"/>
  <c r="M10" i="3"/>
  <c r="E38"/>
  <c r="E64" i="1"/>
  <c r="E66" s="1"/>
  <c r="E67" s="1"/>
  <c r="E22" i="5" l="1"/>
</calcChain>
</file>

<file path=xl/sharedStrings.xml><?xml version="1.0" encoding="utf-8"?>
<sst xmlns="http://schemas.openxmlformats.org/spreadsheetml/2006/main" count="878" uniqueCount="250">
  <si>
    <t>Date</t>
  </si>
  <si>
    <t>Invoice No</t>
  </si>
  <si>
    <t>GRN NO</t>
  </si>
  <si>
    <t>PARTY NAME</t>
  </si>
  <si>
    <t>BILL AMOUNT</t>
  </si>
  <si>
    <t>PAYMENT DATE</t>
  </si>
  <si>
    <t>PAYMENT MODE</t>
  </si>
  <si>
    <t>VOUCHER NO</t>
  </si>
  <si>
    <t>ABHINAV SURGICALS</t>
  </si>
  <si>
    <t>AL-0012</t>
  </si>
  <si>
    <t>AL-0062</t>
  </si>
  <si>
    <t>AL-0061</t>
  </si>
  <si>
    <t>TF00058</t>
  </si>
  <si>
    <t>SAI TIRUMALA</t>
  </si>
  <si>
    <t>GS00041</t>
  </si>
  <si>
    <t>HARSHA MEDICAL AGENCY</t>
  </si>
  <si>
    <t>GS00100</t>
  </si>
  <si>
    <t>GS00202</t>
  </si>
  <si>
    <t>GS00318</t>
  </si>
  <si>
    <t>ST00142</t>
  </si>
  <si>
    <t>SRI  BALAJI PHARMA</t>
  </si>
  <si>
    <t>ST00147</t>
  </si>
  <si>
    <t>ST00494</t>
  </si>
  <si>
    <t>HKMK</t>
  </si>
  <si>
    <t>CR418672</t>
  </si>
  <si>
    <t>SRI ANJANI AGENCIES</t>
  </si>
  <si>
    <t>PS00081</t>
  </si>
  <si>
    <t>MEDICARE PHARMA DISTRIBUTORS</t>
  </si>
  <si>
    <t>CASH</t>
  </si>
  <si>
    <t>MT01220</t>
  </si>
  <si>
    <t>MADHURA DISTRIBUTORS</t>
  </si>
  <si>
    <t>NEFT</t>
  </si>
  <si>
    <t>VINAYAKA ENTER PRISES</t>
  </si>
  <si>
    <t>VB035</t>
  </si>
  <si>
    <t>VB045</t>
  </si>
  <si>
    <t>VB053</t>
  </si>
  <si>
    <t>VB071</t>
  </si>
  <si>
    <t>VB078</t>
  </si>
  <si>
    <t>VB088</t>
  </si>
  <si>
    <t>VB120</t>
  </si>
  <si>
    <t>JS2138</t>
  </si>
  <si>
    <t>JYOTHI MEDICAL HALL</t>
  </si>
  <si>
    <t>H000026</t>
  </si>
  <si>
    <t>LAXMI MEDICAL AGENCIES</t>
  </si>
  <si>
    <t>ONLINE PAYMENT</t>
  </si>
  <si>
    <t>ACE0007</t>
  </si>
  <si>
    <t>AKSHAYA VACCINE HOUSE</t>
  </si>
  <si>
    <t>14/4/2025</t>
  </si>
  <si>
    <t>A000078</t>
  </si>
  <si>
    <t xml:space="preserve">TRURADIX </t>
  </si>
  <si>
    <t>16/4/2024</t>
  </si>
  <si>
    <t>VISHNU MEDICAL &amp; ALLIED DISTRIBUTORS</t>
  </si>
  <si>
    <t>CJ00524</t>
  </si>
  <si>
    <t>DRUG STORES</t>
  </si>
  <si>
    <t>GS00753</t>
  </si>
  <si>
    <t>CR421666</t>
  </si>
  <si>
    <t>15/4/2024</t>
  </si>
  <si>
    <t>CR421855</t>
  </si>
  <si>
    <t>CR421888</t>
  </si>
  <si>
    <t>17/4/2024</t>
  </si>
  <si>
    <t>MP/SL/1043</t>
  </si>
  <si>
    <t>MIDHUN PHARMA AND SURGICALS</t>
  </si>
  <si>
    <t>18/4/2025</t>
  </si>
  <si>
    <t>GS00852</t>
  </si>
  <si>
    <t>17/4/2025</t>
  </si>
  <si>
    <t>ACE0012</t>
  </si>
  <si>
    <t>19/4/2025</t>
  </si>
  <si>
    <t>CJ00684</t>
  </si>
  <si>
    <t>GS00933</t>
  </si>
  <si>
    <t>CR422851</t>
  </si>
  <si>
    <t>CR421305</t>
  </si>
  <si>
    <t>22/4/2025</t>
  </si>
  <si>
    <t>21/4/2025</t>
  </si>
  <si>
    <t>SAI SRINIVASA DISTRIBUTORS</t>
  </si>
  <si>
    <t>G002383</t>
  </si>
  <si>
    <t>OD01301</t>
  </si>
  <si>
    <t>OM PHARMA INC.,</t>
  </si>
  <si>
    <t>OD01473</t>
  </si>
  <si>
    <t>24/4/2025</t>
  </si>
  <si>
    <t>25/4/2025</t>
  </si>
  <si>
    <t>OD01524</t>
  </si>
  <si>
    <t>CJ00884</t>
  </si>
  <si>
    <t>GS01192</t>
  </si>
  <si>
    <t>23/4/2025</t>
  </si>
  <si>
    <t>GS01086</t>
  </si>
  <si>
    <t>MP/SL/1055</t>
  </si>
  <si>
    <t>28/4/2025</t>
  </si>
  <si>
    <t>OD01662</t>
  </si>
  <si>
    <t>GS01297</t>
  </si>
  <si>
    <t>GS01315</t>
  </si>
  <si>
    <t>29/4/2025</t>
  </si>
  <si>
    <t>GS01407</t>
  </si>
  <si>
    <t>30/4/2025</t>
  </si>
  <si>
    <t>CJ01078</t>
  </si>
  <si>
    <t>GS01431</t>
  </si>
  <si>
    <t>MP/SL/1059</t>
  </si>
  <si>
    <t>SOFTWARE</t>
  </si>
  <si>
    <t>DOUBLE ENTRY IN SOFT WARE</t>
  </si>
  <si>
    <t>TOTAL PURCHASE</t>
  </si>
  <si>
    <t>ENTRY PURCHASE</t>
  </si>
  <si>
    <t>OD02062</t>
  </si>
  <si>
    <t>OM PHARMA</t>
  </si>
  <si>
    <t>OD02070</t>
  </si>
  <si>
    <t>OSLGN029</t>
  </si>
  <si>
    <t>AARTHI AGENCIES</t>
  </si>
  <si>
    <t>GS01646</t>
  </si>
  <si>
    <t>HARSHA MEDICAL AGENCIES</t>
  </si>
  <si>
    <t>G003654</t>
  </si>
  <si>
    <t>AS/25-26/029</t>
  </si>
  <si>
    <t>AS ENTERPRISES</t>
  </si>
  <si>
    <t>MP/SL/1072</t>
  </si>
  <si>
    <t>GS01787</t>
  </si>
  <si>
    <t>GS01841</t>
  </si>
  <si>
    <t>OD02377</t>
  </si>
  <si>
    <t>OD02451</t>
  </si>
  <si>
    <t>GS01891</t>
  </si>
  <si>
    <t>AP24047</t>
  </si>
  <si>
    <t>ADITYA PHARMA</t>
  </si>
  <si>
    <t>14/5/2025</t>
  </si>
  <si>
    <t>GS02115</t>
  </si>
  <si>
    <t>ST03683</t>
  </si>
  <si>
    <t>SRI BALAJI PHARMA</t>
  </si>
  <si>
    <t>15/5/2025</t>
  </si>
  <si>
    <t>G004902</t>
  </si>
  <si>
    <t>17/5/2025</t>
  </si>
  <si>
    <t>G004890</t>
  </si>
  <si>
    <t>G005212</t>
  </si>
  <si>
    <t>GS02273</t>
  </si>
  <si>
    <t>OD02967</t>
  </si>
  <si>
    <t>19/5/2025</t>
  </si>
  <si>
    <t>20/5/2025</t>
  </si>
  <si>
    <t>VVHC127</t>
  </si>
  <si>
    <t>VAIVAN HEALTHCARE</t>
  </si>
  <si>
    <t>21/5/2025</t>
  </si>
  <si>
    <t>FY26/WS/2439</t>
  </si>
  <si>
    <t>REGSON HEALTHCARE</t>
  </si>
  <si>
    <t>MADHURA DISTRIBUTOR</t>
  </si>
  <si>
    <t>22/5/2025</t>
  </si>
  <si>
    <t>MT05547</t>
  </si>
  <si>
    <t>GS02491</t>
  </si>
  <si>
    <t>GS02432</t>
  </si>
  <si>
    <t>ODO3103</t>
  </si>
  <si>
    <t>AS/25-26/050</t>
  </si>
  <si>
    <t>23/5/2025</t>
  </si>
  <si>
    <t>MT05728</t>
  </si>
  <si>
    <t>24/5/2025</t>
  </si>
  <si>
    <t>GS02617</t>
  </si>
  <si>
    <t>AP250143</t>
  </si>
  <si>
    <t>ST04517</t>
  </si>
  <si>
    <t>GS02647</t>
  </si>
  <si>
    <t>AP250145</t>
  </si>
  <si>
    <t>25/5/2025</t>
  </si>
  <si>
    <t>26/5/2025</t>
  </si>
  <si>
    <t>OD03397</t>
  </si>
  <si>
    <t>GS02687</t>
  </si>
  <si>
    <t>GS03175</t>
  </si>
  <si>
    <t>ACE0067</t>
  </si>
  <si>
    <t xml:space="preserve">CASH </t>
  </si>
  <si>
    <t>GS03367</t>
  </si>
  <si>
    <t>OD04352</t>
  </si>
  <si>
    <t>GS03453</t>
  </si>
  <si>
    <t>13/6/2025</t>
  </si>
  <si>
    <t>LSN0176</t>
  </si>
  <si>
    <t>S.R.K. ENTERPRISES</t>
  </si>
  <si>
    <t>14/6/2025</t>
  </si>
  <si>
    <t>GS03636</t>
  </si>
  <si>
    <t>MP/SL/1128</t>
  </si>
  <si>
    <t>VINAYAKA ENTERPRISES</t>
  </si>
  <si>
    <t>VB839</t>
  </si>
  <si>
    <t>17/6/2025</t>
  </si>
  <si>
    <t>MP/SL/1133</t>
  </si>
  <si>
    <t>18/6/2025</t>
  </si>
  <si>
    <t>G008562</t>
  </si>
  <si>
    <t>sai srinivasa distributors</t>
  </si>
  <si>
    <t>19/6/2025</t>
  </si>
  <si>
    <t xml:space="preserve">HKMK </t>
  </si>
  <si>
    <t>20/6/2025</t>
  </si>
  <si>
    <t>gs03915</t>
  </si>
  <si>
    <t>B008824</t>
  </si>
  <si>
    <t>SP-25-173574</t>
  </si>
  <si>
    <t>SAI PHARMA</t>
  </si>
  <si>
    <t>SP-25-174281</t>
  </si>
  <si>
    <t>VS00116</t>
  </si>
  <si>
    <t>VISHAL SURGICALS</t>
  </si>
  <si>
    <t>SP-25-174483</t>
  </si>
  <si>
    <t>21/6/2025</t>
  </si>
  <si>
    <t>SP-25-175561</t>
  </si>
  <si>
    <t>CR00476</t>
  </si>
  <si>
    <t>PHARMA LINK SOLUTIONS</t>
  </si>
  <si>
    <t>ST07095</t>
  </si>
  <si>
    <t>SP-25-181604</t>
  </si>
  <si>
    <t>24/6/2025</t>
  </si>
  <si>
    <t>SP-25-180040</t>
  </si>
  <si>
    <t>SP-25-179767</t>
  </si>
  <si>
    <t>GS04129</t>
  </si>
  <si>
    <t>26/6/2025</t>
  </si>
  <si>
    <t>SP-25-185371</t>
  </si>
  <si>
    <t>28/6/2025</t>
  </si>
  <si>
    <t>SP-191693</t>
  </si>
  <si>
    <t>SYSTEM PURCHASED</t>
  </si>
  <si>
    <t>BILLS ENTRY PURCHASED</t>
  </si>
  <si>
    <t>16/6/2025</t>
  </si>
  <si>
    <t>23/6/2025</t>
  </si>
  <si>
    <t>HS06816</t>
  </si>
  <si>
    <t>SUMAN SPECIALTIES</t>
  </si>
  <si>
    <t>ST08074</t>
  </si>
  <si>
    <t>SP-25-202271</t>
  </si>
  <si>
    <t>VS00152</t>
  </si>
  <si>
    <t>PENDING</t>
  </si>
  <si>
    <t>31/5/25</t>
  </si>
  <si>
    <t>31/5/2025</t>
  </si>
  <si>
    <t>27/5/2025</t>
  </si>
  <si>
    <t>FY26/WS/2658</t>
  </si>
  <si>
    <t>VISHNU MEDICAL</t>
  </si>
  <si>
    <t>SL.NO</t>
  </si>
  <si>
    <t>DISTRUBTOR NAME</t>
  </si>
  <si>
    <t>TILL 2/7/2025 PENDING AMOUNTS</t>
  </si>
  <si>
    <t>roopanna medi</t>
  </si>
  <si>
    <t>Drug Stores</t>
  </si>
  <si>
    <t>midhun surgicals</t>
  </si>
  <si>
    <t>sri anjani</t>
  </si>
  <si>
    <t>s p medicals</t>
  </si>
  <si>
    <t>sri balaji pharma</t>
  </si>
  <si>
    <t>abhinav surgi</t>
  </si>
  <si>
    <t>a s enter</t>
  </si>
  <si>
    <t>H K M K</t>
  </si>
  <si>
    <t>HARSHA</t>
  </si>
  <si>
    <t>REGISON HEALTH</t>
  </si>
  <si>
    <t>VIVAHAN HEALTH</t>
  </si>
  <si>
    <t>SUMAN AGENCIES</t>
  </si>
  <si>
    <t>PHARMA LINK</t>
  </si>
  <si>
    <t>TRURADIX</t>
  </si>
  <si>
    <t>S S D</t>
  </si>
  <si>
    <t>AARATHI</t>
  </si>
  <si>
    <t>paid amount</t>
  </si>
  <si>
    <t>DIRECT</t>
  </si>
  <si>
    <t>TOTAL</t>
  </si>
  <si>
    <t>GS04903</t>
  </si>
  <si>
    <t>aprox retun valus</t>
  </si>
  <si>
    <t>19/7/2025</t>
  </si>
  <si>
    <t>Neft</t>
  </si>
  <si>
    <t>VOUCHER NO or neft number</t>
  </si>
  <si>
    <t>RETUN STOKS</t>
  </si>
  <si>
    <t>STOCKS RETURN</t>
  </si>
  <si>
    <t>STOCKS RETUN ON 22/7/2025 Mr Saketh taken</t>
  </si>
  <si>
    <t>sTOCKS RETUN ON 22/7/2025 Mr giridhar raju taken</t>
  </si>
  <si>
    <t>stocks return on 22/7/2025 mr rajesh taken</t>
  </si>
  <si>
    <t>b/s</t>
  </si>
  <si>
    <t>urgent</t>
  </si>
  <si>
    <t>regular</t>
  </si>
</sst>
</file>

<file path=xl/styles.xml><?xml version="1.0" encoding="utf-8"?>
<styleSheet xmlns="http://schemas.openxmlformats.org/spreadsheetml/2006/main">
  <numFmts count="1">
    <numFmt numFmtId="164" formatCode="m/d/yy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right" vertical="center"/>
    </xf>
    <xf numFmtId="164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  <xf numFmtId="164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0" fillId="0" borderId="0" xfId="0" applyFont="1"/>
    <xf numFmtId="14" fontId="0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left" vertical="center"/>
    </xf>
    <xf numFmtId="0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Font="1" applyBorder="1"/>
    <xf numFmtId="0" fontId="2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2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selection activeCell="D15" sqref="D15"/>
    </sheetView>
  </sheetViews>
  <sheetFormatPr defaultRowHeight="15"/>
  <cols>
    <col min="1" max="1" width="16.140625" style="9" customWidth="1"/>
    <col min="2" max="2" width="12.5703125" customWidth="1"/>
    <col min="3" max="3" width="8.140625" bestFit="1" customWidth="1"/>
    <col min="4" max="4" width="32.140625" bestFit="1" customWidth="1"/>
    <col min="5" max="5" width="14" bestFit="1" customWidth="1"/>
    <col min="6" max="6" width="14.42578125" bestFit="1" customWidth="1"/>
    <col min="7" max="7" width="16.85546875" bestFit="1" customWidth="1"/>
    <col min="8" max="8" width="16.85546875" customWidth="1"/>
    <col min="9" max="9" width="9.42578125" customWidth="1"/>
  </cols>
  <sheetData>
    <row r="1" spans="1:10" s="2" customFormat="1" ht="33" customHeight="1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234</v>
      </c>
      <c r="I1" s="6" t="s">
        <v>7</v>
      </c>
      <c r="J1" s="2" t="s">
        <v>208</v>
      </c>
    </row>
    <row r="2" spans="1:10" s="4" customFormat="1">
      <c r="A2" s="7">
        <v>45661</v>
      </c>
      <c r="B2" s="3" t="s">
        <v>9</v>
      </c>
      <c r="C2" s="5">
        <v>246</v>
      </c>
      <c r="D2" s="3" t="s">
        <v>8</v>
      </c>
      <c r="E2" s="5">
        <v>19911</v>
      </c>
      <c r="F2" s="3"/>
      <c r="G2" s="3"/>
      <c r="H2" s="3"/>
      <c r="I2" s="3"/>
    </row>
    <row r="3" spans="1:10">
      <c r="A3" s="9">
        <v>45781</v>
      </c>
      <c r="B3" t="s">
        <v>10</v>
      </c>
      <c r="C3">
        <v>256</v>
      </c>
      <c r="D3" t="s">
        <v>8</v>
      </c>
      <c r="E3">
        <v>468</v>
      </c>
    </row>
    <row r="4" spans="1:10">
      <c r="A4" s="9">
        <v>45781</v>
      </c>
      <c r="B4" t="s">
        <v>11</v>
      </c>
      <c r="C4">
        <v>255</v>
      </c>
      <c r="D4" t="s">
        <v>8</v>
      </c>
      <c r="E4">
        <v>5985</v>
      </c>
    </row>
    <row r="5" spans="1:10">
      <c r="A5" s="9">
        <v>45965</v>
      </c>
      <c r="B5" t="s">
        <v>12</v>
      </c>
      <c r="C5">
        <v>268</v>
      </c>
      <c r="D5" t="s">
        <v>13</v>
      </c>
      <c r="E5">
        <v>9481</v>
      </c>
    </row>
    <row r="6" spans="1:10">
      <c r="A6" s="9">
        <v>45661</v>
      </c>
      <c r="B6" t="s">
        <v>14</v>
      </c>
      <c r="C6">
        <v>247</v>
      </c>
      <c r="D6" t="s">
        <v>15</v>
      </c>
      <c r="E6">
        <v>7419</v>
      </c>
      <c r="J6" t="s">
        <v>208</v>
      </c>
    </row>
    <row r="7" spans="1:10">
      <c r="A7" s="9">
        <v>45720</v>
      </c>
      <c r="B7" t="s">
        <v>16</v>
      </c>
      <c r="C7">
        <v>250</v>
      </c>
      <c r="D7" t="s">
        <v>15</v>
      </c>
      <c r="E7">
        <v>2949</v>
      </c>
      <c r="F7" t="s">
        <v>130</v>
      </c>
      <c r="G7" t="s">
        <v>28</v>
      </c>
      <c r="H7">
        <v>2949</v>
      </c>
      <c r="I7">
        <v>446</v>
      </c>
    </row>
    <row r="8" spans="1:10">
      <c r="A8" s="9">
        <v>45781</v>
      </c>
      <c r="B8" t="s">
        <v>17</v>
      </c>
      <c r="C8">
        <v>254</v>
      </c>
      <c r="D8" t="s">
        <v>15</v>
      </c>
      <c r="E8">
        <v>1567</v>
      </c>
      <c r="F8" t="s">
        <v>130</v>
      </c>
      <c r="G8" t="s">
        <v>28</v>
      </c>
      <c r="H8">
        <v>1567</v>
      </c>
      <c r="I8">
        <v>446</v>
      </c>
    </row>
    <row r="9" spans="1:10">
      <c r="A9" s="9">
        <v>45842</v>
      </c>
      <c r="B9" t="s">
        <v>18</v>
      </c>
      <c r="C9">
        <v>262</v>
      </c>
      <c r="D9" t="s">
        <v>15</v>
      </c>
      <c r="E9">
        <v>6486</v>
      </c>
      <c r="F9" t="s">
        <v>152</v>
      </c>
      <c r="G9" t="s">
        <v>28</v>
      </c>
      <c r="H9">
        <v>6486</v>
      </c>
      <c r="I9">
        <v>454</v>
      </c>
    </row>
    <row r="10" spans="1:10">
      <c r="A10" s="9">
        <v>45692</v>
      </c>
      <c r="B10" t="s">
        <v>19</v>
      </c>
      <c r="C10">
        <v>248</v>
      </c>
      <c r="D10" t="s">
        <v>20</v>
      </c>
      <c r="E10">
        <v>5096</v>
      </c>
    </row>
    <row r="11" spans="1:10">
      <c r="A11" s="9">
        <v>45692</v>
      </c>
      <c r="B11" t="s">
        <v>21</v>
      </c>
      <c r="C11">
        <v>249</v>
      </c>
      <c r="D11" t="s">
        <v>20</v>
      </c>
      <c r="E11">
        <v>6029</v>
      </c>
    </row>
    <row r="12" spans="1:10">
      <c r="A12" s="9">
        <v>45842</v>
      </c>
      <c r="B12" t="s">
        <v>22</v>
      </c>
      <c r="C12">
        <v>260</v>
      </c>
      <c r="D12" t="s">
        <v>20</v>
      </c>
      <c r="E12">
        <v>3976</v>
      </c>
    </row>
    <row r="13" spans="1:10">
      <c r="A13" s="9">
        <v>45720</v>
      </c>
      <c r="B13">
        <v>444</v>
      </c>
      <c r="C13">
        <v>251</v>
      </c>
      <c r="D13" t="s">
        <v>23</v>
      </c>
      <c r="E13">
        <v>5774</v>
      </c>
    </row>
    <row r="14" spans="1:10">
      <c r="A14" s="9">
        <v>45965</v>
      </c>
      <c r="B14">
        <v>448</v>
      </c>
      <c r="C14">
        <v>271</v>
      </c>
      <c r="D14" t="s">
        <v>23</v>
      </c>
      <c r="E14">
        <v>2352</v>
      </c>
    </row>
    <row r="15" spans="1:10">
      <c r="A15" s="9">
        <v>45720</v>
      </c>
      <c r="B15" t="s">
        <v>24</v>
      </c>
      <c r="C15">
        <v>252</v>
      </c>
      <c r="D15" t="s">
        <v>25</v>
      </c>
      <c r="E15">
        <v>8869</v>
      </c>
    </row>
    <row r="16" spans="1:10">
      <c r="A16" s="9">
        <v>45781</v>
      </c>
      <c r="B16" t="s">
        <v>26</v>
      </c>
      <c r="C16">
        <v>253</v>
      </c>
      <c r="D16" t="s">
        <v>27</v>
      </c>
      <c r="E16">
        <v>2627</v>
      </c>
      <c r="F16" s="1">
        <v>45781</v>
      </c>
      <c r="G16" t="s">
        <v>28</v>
      </c>
      <c r="I16">
        <v>429</v>
      </c>
    </row>
    <row r="17" spans="1:9">
      <c r="A17" s="9">
        <v>45965</v>
      </c>
      <c r="B17" t="s">
        <v>29</v>
      </c>
      <c r="C17">
        <v>269</v>
      </c>
      <c r="D17" t="s">
        <v>30</v>
      </c>
      <c r="E17">
        <v>5520</v>
      </c>
      <c r="F17" s="1">
        <v>45965</v>
      </c>
      <c r="G17" t="s">
        <v>31</v>
      </c>
    </row>
    <row r="18" spans="1:9">
      <c r="A18" s="9">
        <v>45781</v>
      </c>
      <c r="B18" t="s">
        <v>33</v>
      </c>
      <c r="C18">
        <v>258</v>
      </c>
      <c r="D18" t="s">
        <v>32</v>
      </c>
      <c r="E18">
        <v>2393</v>
      </c>
      <c r="F18" s="1">
        <v>45781</v>
      </c>
      <c r="G18" t="s">
        <v>28</v>
      </c>
      <c r="I18">
        <v>430</v>
      </c>
    </row>
    <row r="19" spans="1:9">
      <c r="A19" s="9">
        <v>45781</v>
      </c>
      <c r="B19" t="s">
        <v>34</v>
      </c>
      <c r="C19">
        <v>257</v>
      </c>
      <c r="D19" t="s">
        <v>32</v>
      </c>
      <c r="E19">
        <v>2715</v>
      </c>
      <c r="F19" s="1">
        <v>45781</v>
      </c>
      <c r="G19" t="s">
        <v>28</v>
      </c>
      <c r="I19">
        <v>431</v>
      </c>
    </row>
    <row r="20" spans="1:9">
      <c r="A20" s="9">
        <v>45842</v>
      </c>
      <c r="B20" t="s">
        <v>35</v>
      </c>
      <c r="C20">
        <v>261</v>
      </c>
      <c r="D20" t="s">
        <v>32</v>
      </c>
      <c r="E20">
        <v>3093</v>
      </c>
      <c r="F20" s="1">
        <v>45842</v>
      </c>
      <c r="G20" t="s">
        <v>28</v>
      </c>
      <c r="I20">
        <v>432</v>
      </c>
    </row>
    <row r="21" spans="1:9">
      <c r="A21" s="9">
        <v>45873</v>
      </c>
      <c r="B21" t="s">
        <v>36</v>
      </c>
      <c r="C21">
        <v>263</v>
      </c>
      <c r="D21" t="s">
        <v>32</v>
      </c>
      <c r="E21">
        <v>2089</v>
      </c>
      <c r="F21" s="1">
        <v>45904</v>
      </c>
      <c r="G21" t="s">
        <v>28</v>
      </c>
      <c r="I21">
        <v>434</v>
      </c>
    </row>
    <row r="22" spans="1:9">
      <c r="A22" s="9">
        <v>45904</v>
      </c>
      <c r="B22" t="s">
        <v>37</v>
      </c>
      <c r="C22">
        <v>265</v>
      </c>
      <c r="D22" t="s">
        <v>32</v>
      </c>
      <c r="E22">
        <v>2279</v>
      </c>
      <c r="F22" s="1">
        <v>45904</v>
      </c>
      <c r="G22" t="s">
        <v>28</v>
      </c>
      <c r="I22">
        <v>434</v>
      </c>
    </row>
    <row r="23" spans="1:9">
      <c r="A23" s="9">
        <v>45934</v>
      </c>
      <c r="B23" t="s">
        <v>38</v>
      </c>
      <c r="C23">
        <v>267</v>
      </c>
      <c r="D23" t="s">
        <v>32</v>
      </c>
      <c r="E23">
        <v>2780</v>
      </c>
      <c r="G23" t="s">
        <v>31</v>
      </c>
    </row>
    <row r="24" spans="1:9">
      <c r="A24" s="9">
        <v>45965</v>
      </c>
      <c r="B24" t="s">
        <v>39</v>
      </c>
      <c r="C24">
        <v>270</v>
      </c>
      <c r="D24" t="s">
        <v>32</v>
      </c>
      <c r="E24">
        <v>4850</v>
      </c>
      <c r="G24" t="s">
        <v>31</v>
      </c>
    </row>
    <row r="25" spans="1:9">
      <c r="A25" s="9">
        <v>45781</v>
      </c>
      <c r="B25" t="s">
        <v>40</v>
      </c>
      <c r="C25">
        <v>259</v>
      </c>
      <c r="D25" t="s">
        <v>41</v>
      </c>
      <c r="E25">
        <v>18380</v>
      </c>
      <c r="F25" s="1">
        <v>45781</v>
      </c>
      <c r="G25" t="s">
        <v>28</v>
      </c>
    </row>
    <row r="26" spans="1:9">
      <c r="A26" s="9">
        <v>45661</v>
      </c>
      <c r="B26" t="s">
        <v>42</v>
      </c>
      <c r="C26">
        <v>245</v>
      </c>
      <c r="D26" t="s">
        <v>43</v>
      </c>
      <c r="E26">
        <v>2239</v>
      </c>
      <c r="F26" s="1">
        <v>45661</v>
      </c>
      <c r="G26" t="s">
        <v>44</v>
      </c>
    </row>
    <row r="27" spans="1:9">
      <c r="A27" s="9">
        <v>45904</v>
      </c>
      <c r="B27" t="s">
        <v>45</v>
      </c>
      <c r="C27">
        <v>226</v>
      </c>
      <c r="D27" t="s">
        <v>46</v>
      </c>
      <c r="E27">
        <v>1400</v>
      </c>
      <c r="F27" t="s">
        <v>47</v>
      </c>
      <c r="G27" t="s">
        <v>28</v>
      </c>
      <c r="I27">
        <v>435</v>
      </c>
    </row>
    <row r="28" spans="1:9">
      <c r="A28" s="9" t="s">
        <v>47</v>
      </c>
      <c r="B28" t="s">
        <v>48</v>
      </c>
      <c r="C28">
        <v>272</v>
      </c>
      <c r="D28" t="s">
        <v>49</v>
      </c>
      <c r="E28">
        <v>2094</v>
      </c>
    </row>
    <row r="29" spans="1:9">
      <c r="A29" s="9" t="s">
        <v>50</v>
      </c>
      <c r="B29">
        <v>224</v>
      </c>
      <c r="C29">
        <v>275</v>
      </c>
      <c r="D29" t="s">
        <v>51</v>
      </c>
      <c r="E29">
        <v>4967</v>
      </c>
    </row>
    <row r="30" spans="1:9">
      <c r="A30" s="9" t="s">
        <v>50</v>
      </c>
      <c r="B30" t="s">
        <v>52</v>
      </c>
      <c r="C30">
        <v>273</v>
      </c>
      <c r="D30" t="s">
        <v>53</v>
      </c>
      <c r="E30">
        <v>1310</v>
      </c>
    </row>
    <row r="31" spans="1:9">
      <c r="A31" s="9" t="s">
        <v>50</v>
      </c>
      <c r="B31" t="s">
        <v>54</v>
      </c>
      <c r="C31">
        <v>274</v>
      </c>
      <c r="D31" t="s">
        <v>15</v>
      </c>
      <c r="E31">
        <v>3337</v>
      </c>
      <c r="F31" t="s">
        <v>145</v>
      </c>
      <c r="G31" t="s">
        <v>28</v>
      </c>
    </row>
    <row r="32" spans="1:9">
      <c r="A32" s="9" t="s">
        <v>56</v>
      </c>
      <c r="B32" t="s">
        <v>55</v>
      </c>
      <c r="C32">
        <v>276</v>
      </c>
      <c r="D32" t="s">
        <v>25</v>
      </c>
      <c r="E32">
        <v>7886</v>
      </c>
    </row>
    <row r="33" spans="1:10">
      <c r="A33" s="9" t="s">
        <v>50</v>
      </c>
      <c r="B33" t="s">
        <v>57</v>
      </c>
      <c r="C33">
        <v>277</v>
      </c>
      <c r="D33" t="s">
        <v>25</v>
      </c>
      <c r="E33">
        <v>3140</v>
      </c>
    </row>
    <row r="34" spans="1:10">
      <c r="A34" s="9" t="s">
        <v>50</v>
      </c>
      <c r="B34" t="s">
        <v>58</v>
      </c>
      <c r="C34">
        <v>278</v>
      </c>
      <c r="D34" t="s">
        <v>25</v>
      </c>
      <c r="E34">
        <v>4930</v>
      </c>
    </row>
    <row r="35" spans="1:10">
      <c r="A35" s="9" t="s">
        <v>59</v>
      </c>
      <c r="B35">
        <v>246</v>
      </c>
      <c r="C35">
        <v>279</v>
      </c>
      <c r="D35" t="s">
        <v>51</v>
      </c>
      <c r="E35">
        <v>2061</v>
      </c>
    </row>
    <row r="36" spans="1:10">
      <c r="A36" s="9" t="s">
        <v>59</v>
      </c>
      <c r="B36" t="s">
        <v>60</v>
      </c>
      <c r="C36">
        <v>280</v>
      </c>
      <c r="D36" t="s">
        <v>61</v>
      </c>
      <c r="E36">
        <v>14603</v>
      </c>
    </row>
    <row r="37" spans="1:10">
      <c r="A37" s="9" t="s">
        <v>62</v>
      </c>
      <c r="B37" t="s">
        <v>63</v>
      </c>
      <c r="C37">
        <v>281</v>
      </c>
      <c r="D37" t="s">
        <v>15</v>
      </c>
      <c r="E37">
        <v>5871</v>
      </c>
      <c r="F37" t="s">
        <v>137</v>
      </c>
      <c r="G37" t="s">
        <v>28</v>
      </c>
    </row>
    <row r="38" spans="1:10">
      <c r="A38" s="9" t="s">
        <v>64</v>
      </c>
      <c r="B38" t="s">
        <v>65</v>
      </c>
      <c r="C38">
        <v>282</v>
      </c>
      <c r="D38" t="s">
        <v>46</v>
      </c>
      <c r="E38">
        <v>9360</v>
      </c>
    </row>
    <row r="39" spans="1:10">
      <c r="A39" s="9" t="s">
        <v>66</v>
      </c>
      <c r="B39" t="s">
        <v>67</v>
      </c>
      <c r="C39">
        <v>283</v>
      </c>
      <c r="D39" t="s">
        <v>53</v>
      </c>
      <c r="E39">
        <v>2021</v>
      </c>
    </row>
    <row r="40" spans="1:10">
      <c r="A40" s="9" t="s">
        <v>66</v>
      </c>
      <c r="B40" t="s">
        <v>68</v>
      </c>
      <c r="C40">
        <v>284</v>
      </c>
      <c r="D40" t="s">
        <v>15</v>
      </c>
      <c r="E40">
        <v>1670</v>
      </c>
      <c r="F40" t="s">
        <v>209</v>
      </c>
      <c r="G40" t="s">
        <v>28</v>
      </c>
      <c r="I40">
        <v>457</v>
      </c>
    </row>
    <row r="41" spans="1:10">
      <c r="A41" s="9" t="s">
        <v>66</v>
      </c>
      <c r="B41" t="s">
        <v>69</v>
      </c>
      <c r="C41">
        <v>285</v>
      </c>
      <c r="D41" t="s">
        <v>25</v>
      </c>
      <c r="E41">
        <v>1584</v>
      </c>
    </row>
    <row r="42" spans="1:10">
      <c r="A42" s="9" t="s">
        <v>72</v>
      </c>
      <c r="B42" t="s">
        <v>70</v>
      </c>
      <c r="C42">
        <v>286</v>
      </c>
      <c r="D42" t="s">
        <v>25</v>
      </c>
      <c r="E42">
        <v>4235</v>
      </c>
    </row>
    <row r="43" spans="1:10">
      <c r="A43" s="9" t="s">
        <v>71</v>
      </c>
      <c r="B43">
        <v>452</v>
      </c>
      <c r="C43">
        <v>287</v>
      </c>
      <c r="D43" t="s">
        <v>23</v>
      </c>
      <c r="E43">
        <v>13502</v>
      </c>
    </row>
    <row r="44" spans="1:10">
      <c r="A44" s="9" t="s">
        <v>71</v>
      </c>
      <c r="B44" t="s">
        <v>74</v>
      </c>
      <c r="C44">
        <v>288</v>
      </c>
      <c r="D44" t="s">
        <v>73</v>
      </c>
      <c r="E44">
        <v>4621</v>
      </c>
    </row>
    <row r="45" spans="1:10">
      <c r="A45" s="9" t="s">
        <v>71</v>
      </c>
      <c r="B45" t="s">
        <v>75</v>
      </c>
      <c r="C45">
        <v>289</v>
      </c>
      <c r="D45" t="s">
        <v>76</v>
      </c>
      <c r="E45">
        <v>5376</v>
      </c>
    </row>
    <row r="46" spans="1:10">
      <c r="A46" s="9" t="s">
        <v>83</v>
      </c>
      <c r="B46" t="s">
        <v>84</v>
      </c>
      <c r="C46">
        <v>292</v>
      </c>
      <c r="D46" t="s">
        <v>15</v>
      </c>
      <c r="E46">
        <v>9056</v>
      </c>
      <c r="J46" t="s">
        <v>208</v>
      </c>
    </row>
    <row r="47" spans="1:10">
      <c r="A47" s="9" t="s">
        <v>83</v>
      </c>
      <c r="B47">
        <v>321</v>
      </c>
      <c r="C47">
        <v>290</v>
      </c>
      <c r="D47" t="s">
        <v>51</v>
      </c>
      <c r="E47">
        <v>2772</v>
      </c>
    </row>
    <row r="48" spans="1:10">
      <c r="A48" s="9" t="s">
        <v>83</v>
      </c>
      <c r="B48" t="s">
        <v>85</v>
      </c>
      <c r="C48">
        <v>291</v>
      </c>
      <c r="D48" t="s">
        <v>61</v>
      </c>
      <c r="E48">
        <v>12028</v>
      </c>
    </row>
    <row r="49" spans="1:10">
      <c r="A49" s="9" t="s">
        <v>78</v>
      </c>
      <c r="B49" t="s">
        <v>77</v>
      </c>
      <c r="C49">
        <v>293</v>
      </c>
      <c r="D49" t="s">
        <v>76</v>
      </c>
      <c r="E49">
        <v>8293</v>
      </c>
    </row>
    <row r="50" spans="1:10">
      <c r="A50" s="9" t="s">
        <v>79</v>
      </c>
      <c r="B50" t="s">
        <v>80</v>
      </c>
      <c r="C50">
        <v>294</v>
      </c>
      <c r="D50" t="s">
        <v>76</v>
      </c>
      <c r="E50">
        <v>1200</v>
      </c>
    </row>
    <row r="51" spans="1:10">
      <c r="A51" s="9" t="s">
        <v>79</v>
      </c>
      <c r="B51" t="s">
        <v>81</v>
      </c>
      <c r="C51">
        <v>295</v>
      </c>
      <c r="D51" t="s">
        <v>53</v>
      </c>
      <c r="E51">
        <v>639</v>
      </c>
    </row>
    <row r="52" spans="1:10">
      <c r="A52" s="9" t="s">
        <v>79</v>
      </c>
      <c r="B52" t="s">
        <v>95</v>
      </c>
      <c r="C52">
        <v>296</v>
      </c>
      <c r="D52" t="s">
        <v>61</v>
      </c>
      <c r="E52">
        <v>3699</v>
      </c>
    </row>
    <row r="53" spans="1:10">
      <c r="A53" s="9" t="s">
        <v>79</v>
      </c>
      <c r="B53" t="s">
        <v>82</v>
      </c>
      <c r="C53">
        <v>297</v>
      </c>
      <c r="D53" t="s">
        <v>15</v>
      </c>
      <c r="E53">
        <v>2703</v>
      </c>
      <c r="F53" t="s">
        <v>210</v>
      </c>
      <c r="G53" t="s">
        <v>28</v>
      </c>
      <c r="I53">
        <v>457</v>
      </c>
    </row>
    <row r="54" spans="1:10">
      <c r="A54" s="9" t="s">
        <v>86</v>
      </c>
      <c r="B54" t="s">
        <v>87</v>
      </c>
      <c r="C54">
        <v>299</v>
      </c>
      <c r="D54" t="s">
        <v>76</v>
      </c>
      <c r="E54">
        <v>1834</v>
      </c>
    </row>
    <row r="55" spans="1:10">
      <c r="A55" s="9" t="s">
        <v>86</v>
      </c>
      <c r="B55" t="s">
        <v>88</v>
      </c>
      <c r="C55">
        <v>298</v>
      </c>
      <c r="D55" t="s">
        <v>15</v>
      </c>
      <c r="E55">
        <v>1031</v>
      </c>
      <c r="F55" s="1">
        <v>45663</v>
      </c>
      <c r="G55" t="s">
        <v>28</v>
      </c>
    </row>
    <row r="56" spans="1:10">
      <c r="A56" s="9" t="s">
        <v>86</v>
      </c>
      <c r="B56" t="s">
        <v>89</v>
      </c>
      <c r="C56">
        <v>300</v>
      </c>
      <c r="D56" t="s">
        <v>15</v>
      </c>
      <c r="E56">
        <v>2712</v>
      </c>
      <c r="G56" t="s">
        <v>28</v>
      </c>
    </row>
    <row r="57" spans="1:10">
      <c r="A57" s="9" t="s">
        <v>90</v>
      </c>
      <c r="B57" t="s">
        <v>91</v>
      </c>
      <c r="C57">
        <v>301</v>
      </c>
      <c r="D57" t="s">
        <v>15</v>
      </c>
      <c r="E57">
        <v>1659</v>
      </c>
      <c r="G57" t="s">
        <v>28</v>
      </c>
    </row>
    <row r="58" spans="1:10">
      <c r="A58" s="9" t="s">
        <v>92</v>
      </c>
      <c r="B58" t="s">
        <v>93</v>
      </c>
      <c r="C58">
        <v>302</v>
      </c>
      <c r="D58" t="s">
        <v>53</v>
      </c>
      <c r="E58">
        <v>873</v>
      </c>
    </row>
    <row r="59" spans="1:10">
      <c r="A59" s="9" t="s">
        <v>92</v>
      </c>
      <c r="B59" t="s">
        <v>94</v>
      </c>
      <c r="C59">
        <v>303</v>
      </c>
      <c r="D59" t="s">
        <v>15</v>
      </c>
      <c r="E59">
        <v>8472</v>
      </c>
      <c r="J59" t="s">
        <v>208</v>
      </c>
    </row>
    <row r="64" spans="1:10">
      <c r="D64" t="s">
        <v>99</v>
      </c>
      <c r="E64" s="10">
        <f>SUM(E2:E63)</f>
        <v>286266</v>
      </c>
    </row>
    <row r="65" spans="4:5">
      <c r="D65" t="s">
        <v>96</v>
      </c>
      <c r="E65">
        <v>288350</v>
      </c>
    </row>
    <row r="66" spans="4:5">
      <c r="D66" t="s">
        <v>97</v>
      </c>
      <c r="E66">
        <f>E65-E64</f>
        <v>2084</v>
      </c>
    </row>
    <row r="67" spans="4:5">
      <c r="D67" t="s">
        <v>98</v>
      </c>
      <c r="E67" s="10">
        <f>E65-E66</f>
        <v>286266</v>
      </c>
    </row>
  </sheetData>
  <autoFilter ref="A1:I66">
    <filterColumn colId="3"/>
    <filterColumn colId="6"/>
    <filterColumn colId="7"/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8"/>
  <sheetViews>
    <sheetView workbookViewId="0">
      <selection activeCell="D21" sqref="D21"/>
    </sheetView>
  </sheetViews>
  <sheetFormatPr defaultRowHeight="15"/>
  <cols>
    <col min="1" max="1" width="14.7109375" customWidth="1"/>
    <col min="2" max="2" width="16.5703125" customWidth="1"/>
    <col min="3" max="3" width="8.28515625" bestFit="1" customWidth="1"/>
    <col min="4" max="4" width="38.28515625" bestFit="1" customWidth="1"/>
    <col min="5" max="5" width="10.28515625" customWidth="1"/>
    <col min="6" max="6" width="13.42578125" style="4" bestFit="1" customWidth="1"/>
    <col min="7" max="7" width="16.85546875" bestFit="1" customWidth="1"/>
    <col min="8" max="8" width="16.85546875" customWidth="1"/>
    <col min="9" max="9" width="8.5703125" bestFit="1" customWidth="1"/>
    <col min="10" max="10" width="10.140625" bestFit="1" customWidth="1"/>
  </cols>
  <sheetData>
    <row r="1" spans="1:10" ht="30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8" t="s">
        <v>5</v>
      </c>
      <c r="G1" s="6" t="s">
        <v>6</v>
      </c>
      <c r="H1" s="6" t="s">
        <v>234</v>
      </c>
      <c r="I1" s="6" t="s">
        <v>7</v>
      </c>
    </row>
    <row r="2" spans="1:10">
      <c r="A2" s="7">
        <v>45721</v>
      </c>
      <c r="B2" s="3" t="s">
        <v>100</v>
      </c>
      <c r="C2" s="5">
        <v>306</v>
      </c>
      <c r="D2" s="3" t="s">
        <v>101</v>
      </c>
      <c r="E2" s="5">
        <v>5565</v>
      </c>
      <c r="F2" s="3"/>
      <c r="G2" s="3"/>
      <c r="H2" s="3"/>
      <c r="I2" s="3"/>
    </row>
    <row r="3" spans="1:10">
      <c r="A3" s="7">
        <v>45721</v>
      </c>
      <c r="B3" s="3" t="s">
        <v>102</v>
      </c>
      <c r="C3">
        <v>307</v>
      </c>
      <c r="D3" t="s">
        <v>101</v>
      </c>
      <c r="E3">
        <v>3150</v>
      </c>
      <c r="F3"/>
    </row>
    <row r="4" spans="1:10">
      <c r="A4" s="7">
        <v>45721</v>
      </c>
      <c r="B4" t="s">
        <v>103</v>
      </c>
      <c r="C4">
        <v>304</v>
      </c>
      <c r="D4" t="s">
        <v>104</v>
      </c>
      <c r="E4">
        <v>7224</v>
      </c>
      <c r="F4"/>
    </row>
    <row r="5" spans="1:10">
      <c r="A5" s="7">
        <v>45721</v>
      </c>
      <c r="B5" t="s">
        <v>107</v>
      </c>
      <c r="C5">
        <v>305</v>
      </c>
      <c r="D5" t="s">
        <v>73</v>
      </c>
      <c r="E5">
        <v>1006</v>
      </c>
      <c r="F5" s="1">
        <v>45967</v>
      </c>
      <c r="G5" t="s">
        <v>157</v>
      </c>
      <c r="I5">
        <v>465</v>
      </c>
    </row>
    <row r="6" spans="1:10">
      <c r="A6" s="7">
        <v>45721</v>
      </c>
      <c r="B6" t="s">
        <v>108</v>
      </c>
      <c r="C6">
        <v>308</v>
      </c>
      <c r="D6" t="s">
        <v>109</v>
      </c>
      <c r="E6">
        <v>5107</v>
      </c>
      <c r="F6"/>
    </row>
    <row r="7" spans="1:10">
      <c r="A7" s="9">
        <v>45782</v>
      </c>
      <c r="B7" t="s">
        <v>105</v>
      </c>
      <c r="C7">
        <v>308</v>
      </c>
      <c r="D7" t="s">
        <v>106</v>
      </c>
      <c r="E7">
        <v>3217</v>
      </c>
      <c r="F7" s="19">
        <v>45906</v>
      </c>
      <c r="G7" t="s">
        <v>157</v>
      </c>
      <c r="I7">
        <v>462</v>
      </c>
    </row>
    <row r="8" spans="1:10">
      <c r="A8" s="9">
        <v>45813</v>
      </c>
      <c r="B8" t="s">
        <v>110</v>
      </c>
      <c r="C8">
        <v>310</v>
      </c>
      <c r="D8" t="s">
        <v>61</v>
      </c>
      <c r="E8">
        <v>3427</v>
      </c>
      <c r="F8"/>
    </row>
    <row r="9" spans="1:10">
      <c r="A9" s="9">
        <v>45843</v>
      </c>
      <c r="B9" t="s">
        <v>111</v>
      </c>
      <c r="C9">
        <v>311</v>
      </c>
      <c r="D9" t="s">
        <v>106</v>
      </c>
      <c r="E9">
        <v>7567</v>
      </c>
      <c r="J9" t="s">
        <v>208</v>
      </c>
    </row>
    <row r="10" spans="1:10">
      <c r="A10" s="9">
        <v>45874</v>
      </c>
      <c r="B10" t="s">
        <v>112</v>
      </c>
      <c r="C10">
        <v>313</v>
      </c>
      <c r="D10" t="s">
        <v>106</v>
      </c>
      <c r="E10">
        <v>4476</v>
      </c>
      <c r="F10" s="4" t="s">
        <v>174</v>
      </c>
      <c r="G10" t="s">
        <v>157</v>
      </c>
      <c r="I10">
        <v>476</v>
      </c>
    </row>
    <row r="11" spans="1:10">
      <c r="A11" s="9">
        <v>45874</v>
      </c>
      <c r="B11" t="s">
        <v>113</v>
      </c>
      <c r="C11">
        <v>312</v>
      </c>
      <c r="D11" t="s">
        <v>101</v>
      </c>
      <c r="E11">
        <v>3704</v>
      </c>
      <c r="F11"/>
    </row>
    <row r="12" spans="1:10">
      <c r="A12" s="9">
        <v>45905</v>
      </c>
      <c r="B12" t="s">
        <v>114</v>
      </c>
      <c r="C12">
        <v>314</v>
      </c>
      <c r="D12" t="s">
        <v>101</v>
      </c>
      <c r="E12">
        <v>3080</v>
      </c>
      <c r="F12"/>
    </row>
    <row r="13" spans="1:10">
      <c r="A13" s="9">
        <v>45905</v>
      </c>
      <c r="B13" t="s">
        <v>115</v>
      </c>
      <c r="C13">
        <v>315</v>
      </c>
      <c r="D13" t="s">
        <v>106</v>
      </c>
      <c r="E13">
        <v>5650</v>
      </c>
      <c r="F13" s="4" t="s">
        <v>164</v>
      </c>
      <c r="G13" t="s">
        <v>157</v>
      </c>
      <c r="I13">
        <v>468</v>
      </c>
    </row>
    <row r="14" spans="1:10">
      <c r="A14" s="9">
        <v>45996</v>
      </c>
      <c r="B14" t="s">
        <v>116</v>
      </c>
      <c r="C14">
        <v>316</v>
      </c>
      <c r="D14" t="s">
        <v>117</v>
      </c>
      <c r="E14">
        <v>12432</v>
      </c>
      <c r="F14"/>
    </row>
    <row r="15" spans="1:10">
      <c r="A15" s="9" t="s">
        <v>118</v>
      </c>
      <c r="B15" t="s">
        <v>119</v>
      </c>
      <c r="C15">
        <v>317</v>
      </c>
      <c r="D15" t="s">
        <v>106</v>
      </c>
      <c r="E15">
        <v>5634</v>
      </c>
      <c r="J15" t="s">
        <v>208</v>
      </c>
    </row>
    <row r="16" spans="1:10">
      <c r="A16" s="9" t="s">
        <v>118</v>
      </c>
      <c r="B16" t="s">
        <v>120</v>
      </c>
      <c r="C16">
        <v>318</v>
      </c>
      <c r="D16" t="s">
        <v>121</v>
      </c>
      <c r="E16">
        <v>3248</v>
      </c>
      <c r="F16"/>
    </row>
    <row r="17" spans="1:10">
      <c r="A17" s="9" t="s">
        <v>122</v>
      </c>
      <c r="B17" t="s">
        <v>123</v>
      </c>
      <c r="C17">
        <v>320</v>
      </c>
      <c r="D17" t="s">
        <v>73</v>
      </c>
      <c r="E17">
        <v>2515</v>
      </c>
      <c r="F17" t="s">
        <v>185</v>
      </c>
      <c r="G17" t="s">
        <v>157</v>
      </c>
      <c r="I17">
        <v>478</v>
      </c>
    </row>
    <row r="18" spans="1:10">
      <c r="A18" s="9" t="s">
        <v>124</v>
      </c>
      <c r="B18" t="s">
        <v>125</v>
      </c>
      <c r="C18">
        <v>319</v>
      </c>
      <c r="D18" t="s">
        <v>73</v>
      </c>
      <c r="E18">
        <v>3002</v>
      </c>
      <c r="F18" s="1" t="s">
        <v>201</v>
      </c>
      <c r="G18" t="s">
        <v>157</v>
      </c>
      <c r="I18">
        <v>472</v>
      </c>
    </row>
    <row r="19" spans="1:10">
      <c r="A19" s="9" t="s">
        <v>124</v>
      </c>
      <c r="B19" t="s">
        <v>126</v>
      </c>
      <c r="C19">
        <v>322</v>
      </c>
      <c r="D19" t="s">
        <v>73</v>
      </c>
      <c r="E19">
        <v>2354</v>
      </c>
      <c r="F19" s="1" t="s">
        <v>169</v>
      </c>
      <c r="G19" t="s">
        <v>157</v>
      </c>
      <c r="I19">
        <v>473</v>
      </c>
    </row>
    <row r="20" spans="1:10">
      <c r="A20" s="9" t="s">
        <v>124</v>
      </c>
      <c r="B20" t="s">
        <v>127</v>
      </c>
      <c r="C20">
        <v>321</v>
      </c>
      <c r="D20" t="s">
        <v>106</v>
      </c>
      <c r="E20">
        <v>2996</v>
      </c>
      <c r="F20" s="19">
        <v>45967</v>
      </c>
      <c r="G20" t="s">
        <v>157</v>
      </c>
      <c r="I20">
        <v>466</v>
      </c>
    </row>
    <row r="21" spans="1:10">
      <c r="A21" s="9" t="s">
        <v>129</v>
      </c>
      <c r="B21" t="s">
        <v>128</v>
      </c>
      <c r="C21">
        <v>323</v>
      </c>
      <c r="D21" t="s">
        <v>101</v>
      </c>
      <c r="E21">
        <v>4151</v>
      </c>
      <c r="F21" s="1"/>
    </row>
    <row r="22" spans="1:10">
      <c r="A22" s="9" t="s">
        <v>130</v>
      </c>
      <c r="B22" t="s">
        <v>131</v>
      </c>
      <c r="C22">
        <v>324</v>
      </c>
      <c r="D22" t="s">
        <v>132</v>
      </c>
      <c r="E22">
        <v>2310</v>
      </c>
      <c r="F22" s="1"/>
    </row>
    <row r="23" spans="1:10">
      <c r="A23" s="9" t="s">
        <v>133</v>
      </c>
      <c r="B23" t="s">
        <v>134</v>
      </c>
      <c r="C23">
        <v>332</v>
      </c>
      <c r="D23" t="s">
        <v>135</v>
      </c>
      <c r="E23">
        <v>893</v>
      </c>
      <c r="F23" s="1"/>
    </row>
    <row r="24" spans="1:10">
      <c r="A24" s="9" t="s">
        <v>137</v>
      </c>
      <c r="B24" t="s">
        <v>138</v>
      </c>
      <c r="C24">
        <v>327</v>
      </c>
      <c r="D24" t="s">
        <v>136</v>
      </c>
      <c r="E24">
        <v>6613</v>
      </c>
      <c r="F24" s="1"/>
    </row>
    <row r="25" spans="1:10">
      <c r="A25" s="9" t="s">
        <v>137</v>
      </c>
      <c r="B25" t="s">
        <v>139</v>
      </c>
      <c r="C25">
        <v>329</v>
      </c>
      <c r="D25" t="s">
        <v>106</v>
      </c>
      <c r="E25">
        <v>5772</v>
      </c>
      <c r="F25" s="19"/>
      <c r="J25" t="s">
        <v>208</v>
      </c>
    </row>
    <row r="26" spans="1:10">
      <c r="A26" s="9" t="s">
        <v>133</v>
      </c>
      <c r="B26" t="s">
        <v>140</v>
      </c>
      <c r="C26">
        <v>325</v>
      </c>
      <c r="D26" t="s">
        <v>106</v>
      </c>
      <c r="E26">
        <v>2781</v>
      </c>
      <c r="F26" s="19" t="s">
        <v>202</v>
      </c>
      <c r="G26" t="s">
        <v>157</v>
      </c>
      <c r="I26">
        <v>480</v>
      </c>
    </row>
    <row r="27" spans="1:10">
      <c r="A27" s="9" t="s">
        <v>133</v>
      </c>
      <c r="B27" t="s">
        <v>141</v>
      </c>
      <c r="C27">
        <v>326</v>
      </c>
      <c r="D27" t="s">
        <v>101</v>
      </c>
      <c r="E27">
        <v>2261</v>
      </c>
      <c r="F27" s="1"/>
    </row>
    <row r="28" spans="1:10">
      <c r="A28" s="9" t="s">
        <v>137</v>
      </c>
      <c r="B28" t="s">
        <v>142</v>
      </c>
      <c r="C28">
        <v>330</v>
      </c>
      <c r="D28" t="s">
        <v>109</v>
      </c>
      <c r="E28">
        <v>5908</v>
      </c>
      <c r="F28" s="1"/>
    </row>
    <row r="29" spans="1:10">
      <c r="A29" s="9" t="s">
        <v>137</v>
      </c>
      <c r="B29">
        <v>754</v>
      </c>
      <c r="C29">
        <v>328</v>
      </c>
      <c r="D29" t="s">
        <v>213</v>
      </c>
      <c r="E29">
        <v>4913</v>
      </c>
      <c r="F29" s="1"/>
    </row>
    <row r="30" spans="1:10">
      <c r="A30" s="9" t="s">
        <v>143</v>
      </c>
      <c r="B30" t="s">
        <v>144</v>
      </c>
      <c r="C30">
        <v>331</v>
      </c>
      <c r="D30" t="s">
        <v>136</v>
      </c>
      <c r="E30">
        <v>6200</v>
      </c>
      <c r="F30" s="1"/>
    </row>
    <row r="31" spans="1:10">
      <c r="A31" s="9" t="s">
        <v>145</v>
      </c>
      <c r="B31" t="s">
        <v>146</v>
      </c>
      <c r="C31">
        <v>334</v>
      </c>
      <c r="D31" t="s">
        <v>106</v>
      </c>
      <c r="E31">
        <v>2361</v>
      </c>
      <c r="F31" s="19"/>
      <c r="J31" t="s">
        <v>208</v>
      </c>
    </row>
    <row r="32" spans="1:10">
      <c r="A32" s="9" t="s">
        <v>145</v>
      </c>
      <c r="B32" t="s">
        <v>147</v>
      </c>
      <c r="C32">
        <v>335</v>
      </c>
      <c r="D32" t="s">
        <v>117</v>
      </c>
      <c r="E32">
        <v>12712</v>
      </c>
      <c r="F32" s="1"/>
    </row>
    <row r="33" spans="1:10">
      <c r="A33" s="9" t="s">
        <v>145</v>
      </c>
      <c r="B33" t="s">
        <v>148</v>
      </c>
      <c r="C33">
        <v>333</v>
      </c>
      <c r="D33" t="s">
        <v>121</v>
      </c>
      <c r="E33">
        <v>5018</v>
      </c>
      <c r="F33" s="1"/>
    </row>
    <row r="34" spans="1:10">
      <c r="A34" s="9" t="s">
        <v>145</v>
      </c>
      <c r="B34" t="s">
        <v>149</v>
      </c>
      <c r="C34">
        <v>336</v>
      </c>
      <c r="D34" t="s">
        <v>106</v>
      </c>
      <c r="E34">
        <v>4709</v>
      </c>
      <c r="F34" s="19"/>
      <c r="J34" t="s">
        <v>208</v>
      </c>
    </row>
    <row r="35" spans="1:10">
      <c r="A35" s="9" t="s">
        <v>151</v>
      </c>
      <c r="B35" t="s">
        <v>150</v>
      </c>
      <c r="C35">
        <v>337</v>
      </c>
      <c r="D35" t="s">
        <v>117</v>
      </c>
      <c r="E35">
        <v>2688</v>
      </c>
      <c r="F35" s="1"/>
    </row>
    <row r="36" spans="1:10">
      <c r="A36" s="9" t="s">
        <v>151</v>
      </c>
      <c r="B36">
        <v>462</v>
      </c>
      <c r="C36">
        <v>338</v>
      </c>
      <c r="D36" t="s">
        <v>23</v>
      </c>
      <c r="E36">
        <v>11815</v>
      </c>
      <c r="F36" s="1"/>
    </row>
    <row r="37" spans="1:10">
      <c r="A37" s="9" t="s">
        <v>152</v>
      </c>
      <c r="B37" t="s">
        <v>153</v>
      </c>
      <c r="C37">
        <v>339</v>
      </c>
      <c r="D37" t="s">
        <v>101</v>
      </c>
      <c r="E37">
        <v>2641</v>
      </c>
      <c r="F37" s="1"/>
    </row>
    <row r="38" spans="1:10">
      <c r="A38" s="9" t="s">
        <v>152</v>
      </c>
      <c r="B38" t="s">
        <v>154</v>
      </c>
      <c r="C38">
        <v>340</v>
      </c>
      <c r="D38" t="s">
        <v>106</v>
      </c>
      <c r="E38">
        <v>2359</v>
      </c>
      <c r="F38" s="19"/>
      <c r="J38" t="s">
        <v>208</v>
      </c>
    </row>
    <row r="39" spans="1:10">
      <c r="A39" s="9" t="s">
        <v>211</v>
      </c>
      <c r="B39" t="s">
        <v>212</v>
      </c>
      <c r="C39">
        <v>341</v>
      </c>
      <c r="D39" t="s">
        <v>135</v>
      </c>
      <c r="E39">
        <v>1976</v>
      </c>
      <c r="F39" s="19"/>
    </row>
    <row r="40" spans="1:10">
      <c r="A40" s="9"/>
      <c r="F40" s="19"/>
    </row>
    <row r="41" spans="1:10">
      <c r="A41" s="9"/>
      <c r="E41" s="10">
        <f>SUM(E2:E40)</f>
        <v>173435</v>
      </c>
      <c r="F41" s="19"/>
    </row>
    <row r="42" spans="1:10">
      <c r="A42" s="9"/>
      <c r="F42" s="19"/>
    </row>
    <row r="43" spans="1:10">
      <c r="A43" s="9"/>
      <c r="F43" s="19"/>
    </row>
    <row r="44" spans="1:10">
      <c r="A44" s="9"/>
      <c r="F44" s="19"/>
    </row>
    <row r="45" spans="1:10">
      <c r="A45" s="9"/>
      <c r="F45" s="19"/>
    </row>
    <row r="46" spans="1:10">
      <c r="A46" s="9"/>
      <c r="F46" s="19"/>
    </row>
    <row r="47" spans="1:10">
      <c r="A47" s="9"/>
      <c r="F47" s="19"/>
    </row>
    <row r="48" spans="1:10">
      <c r="A48" s="9"/>
      <c r="F48" s="19"/>
    </row>
    <row r="49" spans="1:6">
      <c r="A49" s="9"/>
      <c r="F49" s="19"/>
    </row>
    <row r="50" spans="1:6">
      <c r="A50" s="9"/>
      <c r="F50" s="19"/>
    </row>
    <row r="51" spans="1:6">
      <c r="A51" s="9"/>
      <c r="F51" s="19"/>
    </row>
    <row r="52" spans="1:6">
      <c r="A52" s="9"/>
      <c r="F52" s="19"/>
    </row>
    <row r="53" spans="1:6">
      <c r="A53" s="9"/>
      <c r="F53" s="19"/>
    </row>
    <row r="54" spans="1:6">
      <c r="A54" s="9"/>
      <c r="F54" s="19"/>
    </row>
    <row r="55" spans="1:6">
      <c r="A55" s="9"/>
      <c r="F55" s="19"/>
    </row>
    <row r="56" spans="1:6">
      <c r="A56" s="9"/>
      <c r="F56" s="19"/>
    </row>
    <row r="57" spans="1:6">
      <c r="A57" s="9"/>
      <c r="F57" s="19"/>
    </row>
    <row r="58" spans="1:6">
      <c r="A58" s="9"/>
      <c r="F58" s="19"/>
    </row>
    <row r="59" spans="1:6">
      <c r="A59" s="9"/>
      <c r="F59" s="19"/>
    </row>
    <row r="60" spans="1:6">
      <c r="A60" s="9"/>
      <c r="F60" s="19"/>
    </row>
    <row r="61" spans="1:6">
      <c r="A61" s="9"/>
      <c r="F61" s="19"/>
    </row>
    <row r="62" spans="1:6">
      <c r="A62" s="9"/>
      <c r="F62" s="19"/>
    </row>
    <row r="63" spans="1:6">
      <c r="A63" s="9"/>
      <c r="F63" s="19"/>
    </row>
    <row r="64" spans="1:6">
      <c r="A64" s="9"/>
      <c r="F64" s="19"/>
    </row>
    <row r="65" spans="1:6">
      <c r="A65" s="9"/>
      <c r="F65" s="19"/>
    </row>
    <row r="66" spans="1:6">
      <c r="A66" s="9"/>
      <c r="F66" s="19"/>
    </row>
    <row r="67" spans="1:6">
      <c r="A67" s="9"/>
      <c r="F67" s="19"/>
    </row>
    <row r="68" spans="1:6">
      <c r="A68" s="9"/>
      <c r="F68" s="19"/>
    </row>
    <row r="69" spans="1:6">
      <c r="A69" s="9"/>
      <c r="F69" s="19"/>
    </row>
    <row r="70" spans="1:6">
      <c r="A70" s="9"/>
      <c r="F70" s="19"/>
    </row>
    <row r="71" spans="1:6">
      <c r="A71" s="9"/>
      <c r="F71" s="19"/>
    </row>
    <row r="72" spans="1:6">
      <c r="A72" s="9"/>
      <c r="F72" s="19"/>
    </row>
    <row r="73" spans="1:6">
      <c r="A73" s="9"/>
      <c r="F73" s="19"/>
    </row>
    <row r="74" spans="1:6">
      <c r="A74" s="9"/>
      <c r="F74" s="19"/>
    </row>
    <row r="75" spans="1:6">
      <c r="A75" s="9"/>
      <c r="F75" s="19"/>
    </row>
    <row r="76" spans="1:6">
      <c r="A76" s="9"/>
      <c r="F76" s="19"/>
    </row>
    <row r="77" spans="1:6">
      <c r="A77" s="9"/>
      <c r="F77" s="19"/>
    </row>
    <row r="78" spans="1:6">
      <c r="A78" s="9"/>
      <c r="F78" s="19"/>
    </row>
    <row r="79" spans="1:6">
      <c r="A79" s="9"/>
      <c r="F79" s="19"/>
    </row>
    <row r="80" spans="1:6">
      <c r="A80" s="9"/>
      <c r="F80" s="19"/>
    </row>
    <row r="81" spans="1:6">
      <c r="A81" s="9"/>
      <c r="F81" s="19"/>
    </row>
    <row r="82" spans="1:6">
      <c r="A82" s="9"/>
      <c r="F82" s="19"/>
    </row>
    <row r="83" spans="1:6">
      <c r="A83" s="9"/>
      <c r="F83" s="19"/>
    </row>
    <row r="84" spans="1:6">
      <c r="A84" s="9"/>
      <c r="F84" s="19"/>
    </row>
    <row r="85" spans="1:6">
      <c r="A85" s="9"/>
      <c r="F85" s="19"/>
    </row>
    <row r="86" spans="1:6">
      <c r="A86" s="9"/>
      <c r="F86" s="19"/>
    </row>
    <row r="87" spans="1:6">
      <c r="A87" s="9"/>
      <c r="F87" s="19"/>
    </row>
    <row r="88" spans="1:6">
      <c r="A88" s="9"/>
      <c r="F88" s="19"/>
    </row>
    <row r="89" spans="1:6">
      <c r="A89" s="9"/>
      <c r="F89" s="19"/>
    </row>
    <row r="90" spans="1:6">
      <c r="A90" s="9"/>
      <c r="F90" s="19"/>
    </row>
    <row r="91" spans="1:6">
      <c r="A91" s="9"/>
      <c r="F91" s="19"/>
    </row>
    <row r="92" spans="1:6">
      <c r="A92" s="9"/>
      <c r="F92" s="19"/>
    </row>
    <row r="93" spans="1:6">
      <c r="A93" s="9"/>
      <c r="E93">
        <f>SUM(E2:E92)</f>
        <v>346870</v>
      </c>
      <c r="F93" s="19"/>
    </row>
    <row r="94" spans="1:6">
      <c r="A94" s="9"/>
    </row>
    <row r="95" spans="1:6">
      <c r="A95" s="9"/>
    </row>
    <row r="96" spans="1:6">
      <c r="A96" s="9"/>
      <c r="F96" s="19"/>
    </row>
    <row r="97" spans="1:6">
      <c r="A97" s="9"/>
      <c r="F97" s="19"/>
    </row>
    <row r="98" spans="1:6">
      <c r="A98" s="9"/>
    </row>
    <row r="99" spans="1:6">
      <c r="A99" s="9"/>
    </row>
    <row r="100" spans="1:6">
      <c r="A100" s="9"/>
    </row>
    <row r="101" spans="1:6">
      <c r="A101" s="9"/>
    </row>
    <row r="102" spans="1:6">
      <c r="A102" s="9"/>
    </row>
    <row r="103" spans="1:6">
      <c r="A103" s="9"/>
    </row>
    <row r="104" spans="1:6">
      <c r="A104" s="9"/>
    </row>
    <row r="105" spans="1:6">
      <c r="A105" s="9"/>
    </row>
    <row r="106" spans="1:6">
      <c r="A106" s="9"/>
    </row>
    <row r="107" spans="1:6">
      <c r="A107" s="9"/>
    </row>
    <row r="108" spans="1:6">
      <c r="A108" s="9"/>
    </row>
    <row r="109" spans="1:6">
      <c r="A109" s="9"/>
    </row>
    <row r="110" spans="1:6">
      <c r="A110" s="9"/>
    </row>
    <row r="111" spans="1:6">
      <c r="A111" s="9"/>
    </row>
    <row r="112" spans="1:6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5">
      <c r="A129" s="9"/>
    </row>
    <row r="130" spans="1:5">
      <c r="A130" s="9"/>
    </row>
    <row r="131" spans="1:5">
      <c r="A131" s="9"/>
      <c r="E131">
        <v>0</v>
      </c>
    </row>
    <row r="132" spans="1:5">
      <c r="A132" s="9"/>
      <c r="E132">
        <v>0</v>
      </c>
    </row>
    <row r="133" spans="1:5">
      <c r="A133" s="9"/>
      <c r="E133">
        <v>0</v>
      </c>
    </row>
    <row r="134" spans="1:5">
      <c r="A134" s="9"/>
      <c r="E134">
        <v>0</v>
      </c>
    </row>
    <row r="135" spans="1:5">
      <c r="A135" s="9"/>
      <c r="D135" t="s">
        <v>99</v>
      </c>
      <c r="E135" s="10">
        <f>SUM(E2:E134)</f>
        <v>693740</v>
      </c>
    </row>
    <row r="136" spans="1:5">
      <c r="A136" s="9"/>
      <c r="D136" t="s">
        <v>96</v>
      </c>
      <c r="E136">
        <v>288350</v>
      </c>
    </row>
    <row r="137" spans="1:5">
      <c r="A137" s="9"/>
      <c r="D137" t="s">
        <v>97</v>
      </c>
      <c r="E137">
        <f>E136-E135</f>
        <v>-405390</v>
      </c>
    </row>
    <row r="138" spans="1:5">
      <c r="A138" s="9"/>
      <c r="D138" t="s">
        <v>98</v>
      </c>
      <c r="E138" s="10">
        <f>E136-E137</f>
        <v>693740</v>
      </c>
    </row>
  </sheetData>
  <autoFilter ref="A1:I39">
    <filterColumn colId="3"/>
    <filterColumn colId="6"/>
    <filterColumn colId="7"/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M39"/>
  <sheetViews>
    <sheetView workbookViewId="0">
      <selection activeCell="F35" sqref="F35"/>
    </sheetView>
  </sheetViews>
  <sheetFormatPr defaultRowHeight="15"/>
  <cols>
    <col min="1" max="1" width="9.7109375" bestFit="1" customWidth="1"/>
    <col min="2" max="2" width="11.42578125" bestFit="1" customWidth="1"/>
    <col min="3" max="3" width="8.28515625" bestFit="1" customWidth="1"/>
    <col min="4" max="4" width="32" bestFit="1" customWidth="1"/>
    <col min="5" max="5" width="9.42578125" bestFit="1" customWidth="1"/>
    <col min="6" max="6" width="11.7109375" customWidth="1"/>
    <col min="7" max="7" width="8.85546875" bestFit="1" customWidth="1"/>
    <col min="8" max="8" width="11.42578125" customWidth="1"/>
    <col min="9" max="9" width="13.28515625" customWidth="1"/>
  </cols>
  <sheetData>
    <row r="1" spans="1:13" ht="30">
      <c r="A1" s="1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234</v>
      </c>
      <c r="I1" s="6" t="s">
        <v>7</v>
      </c>
    </row>
    <row r="2" spans="1:13" hidden="1">
      <c r="A2" s="12">
        <v>45694</v>
      </c>
      <c r="B2" s="13" t="s">
        <v>100</v>
      </c>
      <c r="C2" s="14">
        <v>342</v>
      </c>
      <c r="D2" s="13" t="s">
        <v>101</v>
      </c>
      <c r="E2" s="14">
        <v>2324</v>
      </c>
      <c r="F2" s="11"/>
      <c r="G2" s="3"/>
      <c r="H2" s="3"/>
      <c r="I2" s="3"/>
    </row>
    <row r="3" spans="1:13" hidden="1">
      <c r="A3" s="12">
        <v>45753</v>
      </c>
      <c r="B3" s="13">
        <v>250167</v>
      </c>
      <c r="C3" s="15">
        <v>343</v>
      </c>
      <c r="D3" s="15" t="s">
        <v>117</v>
      </c>
      <c r="E3" s="15">
        <v>1730</v>
      </c>
    </row>
    <row r="4" spans="1:13" hidden="1">
      <c r="A4" s="16">
        <v>45783</v>
      </c>
      <c r="B4" s="15" t="s">
        <v>155</v>
      </c>
      <c r="C4" s="15">
        <v>344</v>
      </c>
      <c r="D4" s="15" t="s">
        <v>106</v>
      </c>
      <c r="E4" s="15">
        <v>3919</v>
      </c>
      <c r="J4" t="s">
        <v>208</v>
      </c>
    </row>
    <row r="5" spans="1:13" hidden="1">
      <c r="A5" s="16">
        <v>45906</v>
      </c>
      <c r="B5" s="15" t="s">
        <v>156</v>
      </c>
      <c r="C5" s="15">
        <v>345</v>
      </c>
      <c r="D5" s="15" t="s">
        <v>46</v>
      </c>
      <c r="E5" s="15">
        <v>9976</v>
      </c>
    </row>
    <row r="6" spans="1:13" hidden="1">
      <c r="A6" s="1">
        <v>45936</v>
      </c>
      <c r="B6" t="s">
        <v>158</v>
      </c>
      <c r="C6" s="15">
        <v>347</v>
      </c>
      <c r="D6" s="15" t="s">
        <v>106</v>
      </c>
      <c r="E6" s="15">
        <v>6455</v>
      </c>
      <c r="J6" t="s">
        <v>208</v>
      </c>
    </row>
    <row r="7" spans="1:13" hidden="1">
      <c r="A7" s="1">
        <v>45936</v>
      </c>
      <c r="B7" t="s">
        <v>159</v>
      </c>
      <c r="C7" s="15">
        <v>346</v>
      </c>
      <c r="D7" s="15" t="s">
        <v>101</v>
      </c>
      <c r="E7" s="15">
        <v>4480</v>
      </c>
    </row>
    <row r="8" spans="1:13" hidden="1">
      <c r="A8" s="1">
        <v>45967</v>
      </c>
      <c r="B8" t="s">
        <v>160</v>
      </c>
      <c r="C8" s="15">
        <v>348</v>
      </c>
      <c r="D8" s="15" t="s">
        <v>106</v>
      </c>
      <c r="E8" s="15">
        <v>3333</v>
      </c>
      <c r="J8" t="s">
        <v>208</v>
      </c>
    </row>
    <row r="9" spans="1:13" hidden="1">
      <c r="A9" t="s">
        <v>161</v>
      </c>
      <c r="B9" t="s">
        <v>162</v>
      </c>
      <c r="C9" s="15">
        <v>350</v>
      </c>
      <c r="D9" s="15" t="s">
        <v>163</v>
      </c>
      <c r="E9" s="15">
        <v>5762</v>
      </c>
      <c r="F9" s="15" t="s">
        <v>161</v>
      </c>
      <c r="G9" s="15" t="s">
        <v>28</v>
      </c>
      <c r="H9" s="15"/>
      <c r="I9">
        <v>470</v>
      </c>
    </row>
    <row r="10" spans="1:13" hidden="1">
      <c r="A10" t="s">
        <v>164</v>
      </c>
      <c r="B10" t="s">
        <v>165</v>
      </c>
      <c r="C10" s="15">
        <v>353</v>
      </c>
      <c r="D10" s="15" t="s">
        <v>106</v>
      </c>
      <c r="E10" s="15">
        <v>6688</v>
      </c>
      <c r="J10" t="s">
        <v>208</v>
      </c>
      <c r="M10">
        <f>5461-3571</f>
        <v>1890</v>
      </c>
    </row>
    <row r="11" spans="1:13" hidden="1">
      <c r="A11" t="s">
        <v>164</v>
      </c>
      <c r="B11" t="s">
        <v>166</v>
      </c>
      <c r="C11" s="15">
        <v>351</v>
      </c>
      <c r="D11" s="15" t="s">
        <v>61</v>
      </c>
      <c r="E11" s="15">
        <v>2030</v>
      </c>
    </row>
    <row r="12" spans="1:13" hidden="1">
      <c r="A12" t="s">
        <v>164</v>
      </c>
      <c r="B12" t="s">
        <v>168</v>
      </c>
      <c r="C12" s="15">
        <v>352</v>
      </c>
      <c r="D12" s="15" t="s">
        <v>167</v>
      </c>
      <c r="E12" s="15">
        <v>3528</v>
      </c>
      <c r="F12" s="15" t="s">
        <v>164</v>
      </c>
      <c r="G12" s="15" t="s">
        <v>28</v>
      </c>
      <c r="H12" s="15"/>
      <c r="I12">
        <v>469</v>
      </c>
    </row>
    <row r="13" spans="1:13" hidden="1">
      <c r="A13" t="s">
        <v>169</v>
      </c>
      <c r="B13" t="s">
        <v>170</v>
      </c>
      <c r="C13" s="15">
        <v>354</v>
      </c>
      <c r="D13" s="15" t="s">
        <v>61</v>
      </c>
      <c r="E13" s="15">
        <v>1151</v>
      </c>
    </row>
    <row r="14" spans="1:13">
      <c r="A14" t="s">
        <v>171</v>
      </c>
      <c r="B14" t="s">
        <v>172</v>
      </c>
      <c r="C14">
        <v>355</v>
      </c>
      <c r="D14" t="s">
        <v>173</v>
      </c>
      <c r="E14" s="15">
        <v>3002</v>
      </c>
    </row>
    <row r="15" spans="1:13" hidden="1">
      <c r="A15" t="s">
        <v>174</v>
      </c>
      <c r="B15">
        <v>473</v>
      </c>
      <c r="C15">
        <v>356</v>
      </c>
      <c r="D15" t="s">
        <v>175</v>
      </c>
      <c r="E15" s="15">
        <v>5512</v>
      </c>
    </row>
    <row r="16" spans="1:13" hidden="1">
      <c r="A16" t="s">
        <v>176</v>
      </c>
      <c r="B16" t="s">
        <v>177</v>
      </c>
      <c r="C16">
        <v>357</v>
      </c>
      <c r="D16" t="s">
        <v>106</v>
      </c>
      <c r="E16" s="15">
        <v>6141</v>
      </c>
      <c r="J16" t="s">
        <v>208</v>
      </c>
    </row>
    <row r="17" spans="1:10">
      <c r="A17" t="s">
        <v>176</v>
      </c>
      <c r="B17" t="s">
        <v>178</v>
      </c>
      <c r="C17">
        <v>358</v>
      </c>
      <c r="D17" t="s">
        <v>173</v>
      </c>
      <c r="E17" s="15">
        <v>5985</v>
      </c>
    </row>
    <row r="18" spans="1:10" hidden="1">
      <c r="A18" t="s">
        <v>176</v>
      </c>
      <c r="B18" t="s">
        <v>179</v>
      </c>
      <c r="C18">
        <v>359</v>
      </c>
      <c r="D18" t="s">
        <v>180</v>
      </c>
      <c r="E18" s="15">
        <v>2160</v>
      </c>
    </row>
    <row r="19" spans="1:10" hidden="1">
      <c r="A19" t="s">
        <v>176</v>
      </c>
      <c r="B19" t="s">
        <v>181</v>
      </c>
      <c r="C19">
        <v>360</v>
      </c>
      <c r="D19" t="s">
        <v>180</v>
      </c>
      <c r="E19" s="15">
        <v>2399</v>
      </c>
    </row>
    <row r="20" spans="1:10" hidden="1">
      <c r="A20" t="s">
        <v>185</v>
      </c>
      <c r="B20" t="s">
        <v>182</v>
      </c>
      <c r="C20">
        <v>361</v>
      </c>
      <c r="D20" t="s">
        <v>183</v>
      </c>
      <c r="E20" s="15">
        <v>2456</v>
      </c>
    </row>
    <row r="21" spans="1:10" hidden="1">
      <c r="A21" t="s">
        <v>185</v>
      </c>
      <c r="B21" t="s">
        <v>184</v>
      </c>
      <c r="C21">
        <v>362</v>
      </c>
      <c r="D21" t="s">
        <v>180</v>
      </c>
      <c r="E21" s="15">
        <v>3898</v>
      </c>
    </row>
    <row r="22" spans="1:10" hidden="1">
      <c r="A22" t="s">
        <v>185</v>
      </c>
      <c r="B22" t="s">
        <v>186</v>
      </c>
      <c r="C22">
        <v>364</v>
      </c>
      <c r="D22" t="s">
        <v>180</v>
      </c>
      <c r="E22" s="15">
        <v>9270</v>
      </c>
    </row>
    <row r="23" spans="1:10" hidden="1">
      <c r="A23" t="s">
        <v>185</v>
      </c>
      <c r="B23" t="s">
        <v>187</v>
      </c>
      <c r="C23">
        <v>365</v>
      </c>
      <c r="D23" t="s">
        <v>188</v>
      </c>
      <c r="E23" s="15">
        <v>3912</v>
      </c>
    </row>
    <row r="24" spans="1:10" hidden="1">
      <c r="A24" t="s">
        <v>185</v>
      </c>
      <c r="B24" t="s">
        <v>189</v>
      </c>
      <c r="C24">
        <v>363</v>
      </c>
      <c r="D24" t="s">
        <v>121</v>
      </c>
      <c r="E24" s="15">
        <v>1837</v>
      </c>
    </row>
    <row r="25" spans="1:10" hidden="1">
      <c r="A25" t="s">
        <v>191</v>
      </c>
      <c r="B25" t="s">
        <v>190</v>
      </c>
      <c r="C25">
        <v>368</v>
      </c>
      <c r="D25" t="s">
        <v>180</v>
      </c>
      <c r="E25" s="15">
        <v>4988</v>
      </c>
    </row>
    <row r="26" spans="1:10" hidden="1">
      <c r="A26" t="s">
        <v>191</v>
      </c>
      <c r="B26" t="s">
        <v>192</v>
      </c>
      <c r="C26">
        <v>366</v>
      </c>
      <c r="D26" t="s">
        <v>180</v>
      </c>
      <c r="E26" s="15">
        <v>1846</v>
      </c>
    </row>
    <row r="27" spans="1:10" hidden="1">
      <c r="A27" t="s">
        <v>191</v>
      </c>
      <c r="B27" t="s">
        <v>193</v>
      </c>
      <c r="C27">
        <v>367</v>
      </c>
      <c r="D27" t="s">
        <v>180</v>
      </c>
      <c r="E27" s="15">
        <v>9376</v>
      </c>
    </row>
    <row r="28" spans="1:10" hidden="1">
      <c r="A28" t="s">
        <v>191</v>
      </c>
      <c r="B28" t="s">
        <v>194</v>
      </c>
      <c r="C28">
        <v>369</v>
      </c>
      <c r="D28" t="s">
        <v>106</v>
      </c>
      <c r="E28" s="15">
        <v>1573</v>
      </c>
      <c r="J28" t="s">
        <v>208</v>
      </c>
    </row>
    <row r="29" spans="1:10" hidden="1">
      <c r="A29" t="s">
        <v>195</v>
      </c>
      <c r="B29" t="s">
        <v>196</v>
      </c>
      <c r="C29">
        <v>370</v>
      </c>
      <c r="D29" t="s">
        <v>180</v>
      </c>
      <c r="E29" s="15">
        <v>6361</v>
      </c>
    </row>
    <row r="30" spans="1:10" hidden="1">
      <c r="A30" t="s">
        <v>197</v>
      </c>
      <c r="B30" t="s">
        <v>198</v>
      </c>
      <c r="C30">
        <v>371</v>
      </c>
      <c r="D30" t="s">
        <v>180</v>
      </c>
      <c r="E30" s="15">
        <v>3552</v>
      </c>
    </row>
    <row r="31" spans="1:10">
      <c r="E31" s="15"/>
    </row>
    <row r="32" spans="1:10">
      <c r="E32" s="15"/>
    </row>
    <row r="33" spans="4:5">
      <c r="E33" s="15"/>
    </row>
    <row r="34" spans="4:5">
      <c r="E34" s="15"/>
    </row>
    <row r="35" spans="4:5">
      <c r="E35" s="15"/>
    </row>
    <row r="36" spans="4:5">
      <c r="E36" s="15"/>
    </row>
    <row r="37" spans="4:5">
      <c r="E37" s="15"/>
    </row>
    <row r="38" spans="4:5">
      <c r="D38" t="s">
        <v>200</v>
      </c>
      <c r="E38" s="10">
        <f>SUM(E2:E37)</f>
        <v>125644</v>
      </c>
    </row>
    <row r="39" spans="4:5">
      <c r="D39" t="s">
        <v>199</v>
      </c>
      <c r="E39">
        <v>125909</v>
      </c>
    </row>
  </sheetData>
  <autoFilter ref="A1:M30">
    <filterColumn colId="3">
      <filters>
        <filter val="sai srinivasa distributors"/>
      </filters>
    </filterColumn>
    <filterColumn colId="7"/>
  </autoFilter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B9" sqref="B9"/>
    </sheetView>
  </sheetViews>
  <sheetFormatPr defaultRowHeight="15"/>
  <cols>
    <col min="2" max="2" width="12.5703125" bestFit="1" customWidth="1"/>
    <col min="3" max="3" width="8.28515625" bestFit="1" customWidth="1"/>
    <col min="4" max="4" width="26.28515625" bestFit="1" customWidth="1"/>
    <col min="6" max="7" width="8.85546875" bestFit="1" customWidth="1"/>
    <col min="8" max="8" width="9.7109375" style="22" bestFit="1" customWidth="1"/>
  </cols>
  <sheetData>
    <row r="1" spans="1:8" ht="45">
      <c r="A1" s="1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0" t="s">
        <v>7</v>
      </c>
    </row>
    <row r="2" spans="1:8">
      <c r="A2" s="12">
        <v>45695</v>
      </c>
      <c r="B2" s="3" t="s">
        <v>203</v>
      </c>
      <c r="C2" s="14">
        <v>374</v>
      </c>
      <c r="D2" s="3" t="s">
        <v>204</v>
      </c>
      <c r="E2" s="14">
        <v>4800</v>
      </c>
      <c r="F2" s="11"/>
      <c r="G2" s="3"/>
      <c r="H2" s="21"/>
    </row>
    <row r="3" spans="1:8">
      <c r="A3" s="12">
        <v>45695</v>
      </c>
      <c r="B3" s="3" t="s">
        <v>205</v>
      </c>
      <c r="C3" s="15">
        <v>372</v>
      </c>
      <c r="D3" t="s">
        <v>121</v>
      </c>
      <c r="E3" s="15">
        <v>2688</v>
      </c>
    </row>
    <row r="4" spans="1:8">
      <c r="A4" s="12">
        <v>45695</v>
      </c>
      <c r="B4" s="3" t="s">
        <v>207</v>
      </c>
      <c r="C4" s="15">
        <v>373</v>
      </c>
      <c r="D4" t="s">
        <v>183</v>
      </c>
      <c r="E4" s="15">
        <v>1250</v>
      </c>
      <c r="F4" s="16">
        <v>45695</v>
      </c>
      <c r="G4" t="s">
        <v>28</v>
      </c>
      <c r="H4" s="22">
        <v>472</v>
      </c>
    </row>
    <row r="5" spans="1:8">
      <c r="A5" s="16">
        <v>45723</v>
      </c>
      <c r="B5" t="s">
        <v>206</v>
      </c>
      <c r="C5" s="15">
        <v>375</v>
      </c>
      <c r="D5" t="s">
        <v>180</v>
      </c>
      <c r="E5" s="15">
        <v>7184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I18" sqref="I18"/>
    </sheetView>
  </sheetViews>
  <sheetFormatPr defaultRowHeight="15"/>
  <cols>
    <col min="2" max="2" width="26.5703125" bestFit="1" customWidth="1"/>
    <col min="3" max="3" width="31.28515625" style="27" bestFit="1" customWidth="1"/>
    <col min="4" max="4" width="16.42578125" bestFit="1" customWidth="1"/>
    <col min="6" max="6" width="47" hidden="1" customWidth="1"/>
  </cols>
  <sheetData>
    <row r="1" spans="1:7">
      <c r="A1" s="24" t="s">
        <v>214</v>
      </c>
      <c r="B1" s="24" t="s">
        <v>215</v>
      </c>
      <c r="C1" s="25" t="s">
        <v>216</v>
      </c>
      <c r="D1" s="24" t="s">
        <v>238</v>
      </c>
      <c r="E1" s="24" t="s">
        <v>247</v>
      </c>
      <c r="F1" s="24" t="s">
        <v>234</v>
      </c>
    </row>
    <row r="2" spans="1:7">
      <c r="A2" s="23">
        <v>1</v>
      </c>
      <c r="B2" s="23" t="s">
        <v>217</v>
      </c>
      <c r="C2" s="26">
        <v>17510</v>
      </c>
      <c r="D2" s="23">
        <v>11594</v>
      </c>
      <c r="E2" s="23">
        <f t="shared" ref="E2:E17" si="0">C2-D2</f>
        <v>5916</v>
      </c>
      <c r="F2" s="23"/>
    </row>
    <row r="3" spans="1:7">
      <c r="A3" s="23">
        <v>2</v>
      </c>
      <c r="B3" s="23" t="s">
        <v>218</v>
      </c>
      <c r="C3" s="26">
        <v>10697</v>
      </c>
      <c r="D3" s="23">
        <v>4980</v>
      </c>
      <c r="E3" s="23">
        <f t="shared" si="0"/>
        <v>5717</v>
      </c>
      <c r="F3" s="23"/>
    </row>
    <row r="4" spans="1:7">
      <c r="A4" s="23">
        <v>3</v>
      </c>
      <c r="B4" s="23" t="s">
        <v>219</v>
      </c>
      <c r="C4" s="26">
        <v>57497</v>
      </c>
      <c r="D4" s="23">
        <v>34716</v>
      </c>
      <c r="E4" s="23">
        <f t="shared" si="0"/>
        <v>22781</v>
      </c>
      <c r="F4" s="23"/>
      <c r="G4" t="s">
        <v>248</v>
      </c>
    </row>
    <row r="5" spans="1:7">
      <c r="A5" s="23">
        <v>4</v>
      </c>
      <c r="B5" s="23" t="s">
        <v>220</v>
      </c>
      <c r="C5" s="26">
        <v>97362</v>
      </c>
      <c r="D5" s="23">
        <f>26482+350+96+6921+284+0</f>
        <v>34133</v>
      </c>
      <c r="E5" s="23">
        <f t="shared" si="0"/>
        <v>63229</v>
      </c>
      <c r="F5" s="23"/>
      <c r="G5" t="s">
        <v>248</v>
      </c>
    </row>
    <row r="6" spans="1:7">
      <c r="A6" s="23">
        <v>5</v>
      </c>
      <c r="B6" s="23" t="s">
        <v>221</v>
      </c>
      <c r="C6" s="26">
        <v>2863</v>
      </c>
      <c r="D6" s="23">
        <v>1641</v>
      </c>
      <c r="E6" s="23">
        <f t="shared" si="0"/>
        <v>1222</v>
      </c>
      <c r="F6" s="23"/>
    </row>
    <row r="7" spans="1:7">
      <c r="A7" s="23">
        <v>6</v>
      </c>
      <c r="B7" s="23" t="s">
        <v>222</v>
      </c>
      <c r="C7" s="26">
        <v>49721</v>
      </c>
      <c r="D7" s="23">
        <v>28119</v>
      </c>
      <c r="E7" s="23">
        <f t="shared" si="0"/>
        <v>21602</v>
      </c>
      <c r="F7" s="23"/>
      <c r="G7" t="s">
        <v>249</v>
      </c>
    </row>
    <row r="8" spans="1:7">
      <c r="A8" s="23">
        <v>7</v>
      </c>
      <c r="B8" s="23" t="s">
        <v>223</v>
      </c>
      <c r="C8" s="26">
        <v>45924</v>
      </c>
      <c r="D8" s="23">
        <f>25226+415+0</f>
        <v>25641</v>
      </c>
      <c r="E8" s="23">
        <f t="shared" si="0"/>
        <v>20283</v>
      </c>
      <c r="F8" s="23"/>
    </row>
    <row r="9" spans="1:7">
      <c r="A9" s="23">
        <v>8</v>
      </c>
      <c r="B9" s="23" t="s">
        <v>224</v>
      </c>
      <c r="C9" s="26">
        <v>48199</v>
      </c>
      <c r="D9" s="23">
        <v>4992</v>
      </c>
      <c r="E9" s="23">
        <f t="shared" si="0"/>
        <v>43207</v>
      </c>
      <c r="F9" s="23"/>
    </row>
    <row r="10" spans="1:7">
      <c r="A10" s="23">
        <v>9</v>
      </c>
      <c r="B10" s="23" t="s">
        <v>225</v>
      </c>
      <c r="C10" s="26">
        <v>113517</v>
      </c>
      <c r="D10" s="23">
        <v>40086</v>
      </c>
      <c r="E10" s="23">
        <f t="shared" si="0"/>
        <v>73431</v>
      </c>
      <c r="F10" s="23"/>
      <c r="G10" t="s">
        <v>248</v>
      </c>
    </row>
    <row r="11" spans="1:7">
      <c r="A11" s="23">
        <v>10</v>
      </c>
      <c r="B11" s="51" t="s">
        <v>226</v>
      </c>
      <c r="C11" s="25">
        <f>86525-5067</f>
        <v>81458</v>
      </c>
      <c r="D11" s="51">
        <f>7419+9056</f>
        <v>16475</v>
      </c>
      <c r="E11" s="51">
        <f t="shared" si="0"/>
        <v>64983</v>
      </c>
      <c r="F11" s="23"/>
    </row>
    <row r="12" spans="1:7">
      <c r="A12" s="23">
        <v>11</v>
      </c>
      <c r="B12" s="23" t="s">
        <v>227</v>
      </c>
      <c r="C12" s="26">
        <v>2869</v>
      </c>
      <c r="D12" s="51">
        <v>2513</v>
      </c>
      <c r="E12" s="23">
        <f t="shared" si="0"/>
        <v>356</v>
      </c>
      <c r="F12" s="23"/>
    </row>
    <row r="13" spans="1:7">
      <c r="A13" s="23">
        <v>12</v>
      </c>
      <c r="B13" s="23" t="s">
        <v>228</v>
      </c>
      <c r="C13" s="26">
        <v>2310</v>
      </c>
      <c r="D13" s="23">
        <v>2464</v>
      </c>
      <c r="E13" s="23">
        <f t="shared" si="0"/>
        <v>-154</v>
      </c>
      <c r="F13" s="23"/>
    </row>
    <row r="14" spans="1:7">
      <c r="A14" s="23">
        <v>13</v>
      </c>
      <c r="B14" s="23" t="s">
        <v>229</v>
      </c>
      <c r="C14" s="26">
        <v>4800</v>
      </c>
      <c r="D14" s="23">
        <v>4800</v>
      </c>
      <c r="E14" s="23">
        <f t="shared" si="0"/>
        <v>0</v>
      </c>
      <c r="F14" s="23" t="s">
        <v>246</v>
      </c>
    </row>
    <row r="15" spans="1:7">
      <c r="A15" s="23">
        <v>14</v>
      </c>
      <c r="B15" s="23" t="s">
        <v>230</v>
      </c>
      <c r="C15" s="26">
        <v>3912</v>
      </c>
      <c r="D15" s="23">
        <v>3912</v>
      </c>
      <c r="E15" s="23">
        <f t="shared" si="0"/>
        <v>0</v>
      </c>
      <c r="F15" s="23" t="s">
        <v>244</v>
      </c>
    </row>
    <row r="16" spans="1:7">
      <c r="A16" s="23">
        <v>15</v>
      </c>
      <c r="B16" s="23" t="s">
        <v>231</v>
      </c>
      <c r="C16" s="26">
        <v>2094</v>
      </c>
      <c r="D16" s="23">
        <v>1256</v>
      </c>
      <c r="E16" s="23">
        <f t="shared" si="0"/>
        <v>838</v>
      </c>
      <c r="F16" s="23" t="s">
        <v>245</v>
      </c>
    </row>
    <row r="17" spans="1:7">
      <c r="A17" s="52">
        <v>16</v>
      </c>
      <c r="B17" s="57" t="s">
        <v>232</v>
      </c>
      <c r="C17" s="58">
        <f>5985+3002</f>
        <v>8987</v>
      </c>
      <c r="D17" s="59">
        <v>5985</v>
      </c>
      <c r="E17" s="23">
        <f t="shared" si="0"/>
        <v>3002</v>
      </c>
      <c r="F17" s="52"/>
      <c r="G17" s="53"/>
    </row>
    <row r="18" spans="1:7">
      <c r="A18" s="23">
        <v>17</v>
      </c>
      <c r="B18" s="23" t="s">
        <v>117</v>
      </c>
      <c r="C18" s="26">
        <v>29762</v>
      </c>
      <c r="D18" s="23">
        <v>26288</v>
      </c>
      <c r="E18" s="23">
        <f>C18-D18</f>
        <v>3474</v>
      </c>
      <c r="F18" s="23"/>
    </row>
    <row r="19" spans="1:7">
      <c r="A19" s="23">
        <v>18</v>
      </c>
      <c r="B19" s="23" t="s">
        <v>233</v>
      </c>
      <c r="C19" s="26">
        <v>7224</v>
      </c>
      <c r="D19" s="23"/>
      <c r="E19" s="23">
        <f t="shared" ref="E19:E22" si="1">C19-D19</f>
        <v>7224</v>
      </c>
      <c r="F19" s="23"/>
    </row>
    <row r="20" spans="1:7">
      <c r="A20" s="23">
        <v>19</v>
      </c>
      <c r="B20" s="23" t="s">
        <v>101</v>
      </c>
      <c r="C20" s="26">
        <v>48059</v>
      </c>
      <c r="D20" s="23">
        <v>17743</v>
      </c>
      <c r="E20" s="23">
        <f t="shared" si="1"/>
        <v>30316</v>
      </c>
      <c r="F20" s="23"/>
      <c r="G20" t="s">
        <v>248</v>
      </c>
    </row>
    <row r="21" spans="1:7">
      <c r="A21" s="23">
        <v>20</v>
      </c>
      <c r="B21" s="23" t="s">
        <v>180</v>
      </c>
      <c r="C21" s="26">
        <v>51034</v>
      </c>
      <c r="D21" s="23"/>
      <c r="E21" s="23">
        <f t="shared" si="1"/>
        <v>51034</v>
      </c>
      <c r="F21" s="23"/>
      <c r="G21" t="s">
        <v>249</v>
      </c>
    </row>
    <row r="22" spans="1:7">
      <c r="A22" s="23"/>
      <c r="B22" s="23"/>
      <c r="C22" s="25">
        <f>SUM(C2:C21)</f>
        <v>685799</v>
      </c>
      <c r="D22" s="23">
        <f>SUM(D2:D21)</f>
        <v>267338</v>
      </c>
      <c r="E22" s="23">
        <f t="shared" si="1"/>
        <v>418461</v>
      </c>
      <c r="F22" s="23"/>
    </row>
    <row r="23" spans="1:7">
      <c r="A23" s="23"/>
      <c r="B23" s="23"/>
      <c r="C23" s="26"/>
      <c r="D23" s="23"/>
      <c r="E23" s="23"/>
      <c r="F23" s="23"/>
    </row>
  </sheetData>
  <autoFilter ref="A1:G22"/>
  <pageMargins left="0.36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L129"/>
  <sheetViews>
    <sheetView tabSelected="1" workbookViewId="0">
      <selection activeCell="F133" sqref="F133"/>
    </sheetView>
  </sheetViews>
  <sheetFormatPr defaultRowHeight="15"/>
  <cols>
    <col min="1" max="1" width="9.7109375" style="23" bestFit="1" customWidth="1"/>
    <col min="2" max="2" width="11.42578125" style="23" bestFit="1" customWidth="1"/>
    <col min="3" max="3" width="9.140625" style="23"/>
    <col min="4" max="4" width="38.28515625" style="23" bestFit="1" customWidth="1"/>
    <col min="5" max="5" width="11.7109375" style="23" customWidth="1"/>
    <col min="6" max="6" width="11" style="23" customWidth="1"/>
    <col min="7" max="7" width="8.5703125" style="23" customWidth="1"/>
    <col min="8" max="8" width="8.140625" style="63" customWidth="1"/>
    <col min="9" max="9" width="13.7109375" style="56" customWidth="1"/>
    <col min="10" max="16384" width="9.140625" style="23"/>
  </cols>
  <sheetData>
    <row r="1" spans="1:12" ht="4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60" t="s">
        <v>234</v>
      </c>
      <c r="I1" s="55" t="s">
        <v>241</v>
      </c>
      <c r="J1" s="38" t="s">
        <v>242</v>
      </c>
      <c r="L1" s="44"/>
    </row>
    <row r="2" spans="1:12" customFormat="1">
      <c r="A2" s="45">
        <v>45661</v>
      </c>
      <c r="B2" s="43" t="s">
        <v>9</v>
      </c>
      <c r="C2" s="46">
        <v>246</v>
      </c>
      <c r="D2" s="43" t="s">
        <v>8</v>
      </c>
      <c r="E2" s="46">
        <v>19911</v>
      </c>
      <c r="F2" s="43"/>
      <c r="G2" s="43"/>
      <c r="H2" s="31"/>
      <c r="I2" s="43"/>
      <c r="J2" s="23"/>
      <c r="K2" s="23"/>
    </row>
    <row r="3" spans="1:12" customFormat="1">
      <c r="A3" s="30">
        <v>45781</v>
      </c>
      <c r="B3" s="23" t="s">
        <v>10</v>
      </c>
      <c r="C3" s="23">
        <v>256</v>
      </c>
      <c r="D3" s="23" t="s">
        <v>8</v>
      </c>
      <c r="E3" s="23">
        <v>468</v>
      </c>
      <c r="F3" s="23"/>
      <c r="G3" s="23"/>
      <c r="H3" s="31"/>
      <c r="I3" s="23"/>
      <c r="J3" s="23"/>
      <c r="K3" s="23"/>
    </row>
    <row r="4" spans="1:12" customFormat="1">
      <c r="A4" s="30">
        <v>45781</v>
      </c>
      <c r="B4" s="23" t="s">
        <v>11</v>
      </c>
      <c r="C4" s="23">
        <v>255</v>
      </c>
      <c r="D4" s="23" t="s">
        <v>8</v>
      </c>
      <c r="E4" s="23">
        <v>5985</v>
      </c>
      <c r="F4" s="23"/>
      <c r="G4" s="23"/>
      <c r="H4" s="31"/>
      <c r="I4" s="23"/>
      <c r="J4" s="23"/>
      <c r="K4" s="23"/>
    </row>
    <row r="5" spans="1:12" customFormat="1">
      <c r="A5" s="30">
        <v>45965</v>
      </c>
      <c r="B5" s="23" t="s">
        <v>12</v>
      </c>
      <c r="C5" s="23">
        <v>268</v>
      </c>
      <c r="D5" s="23" t="s">
        <v>13</v>
      </c>
      <c r="E5" s="23">
        <v>9481</v>
      </c>
      <c r="F5" s="23"/>
      <c r="G5" s="23"/>
      <c r="H5" s="31"/>
      <c r="I5" s="23"/>
      <c r="J5" s="23"/>
      <c r="K5" s="23"/>
    </row>
    <row r="6" spans="1:12" hidden="1">
      <c r="A6" s="30">
        <v>45661</v>
      </c>
      <c r="B6" s="23" t="s">
        <v>14</v>
      </c>
      <c r="C6" s="23">
        <v>247</v>
      </c>
      <c r="D6" s="23" t="s">
        <v>106</v>
      </c>
      <c r="E6" s="52">
        <v>7419</v>
      </c>
      <c r="F6" s="23" t="s">
        <v>239</v>
      </c>
      <c r="G6" s="23" t="s">
        <v>240</v>
      </c>
      <c r="H6" s="31">
        <v>7419</v>
      </c>
      <c r="I6" s="56">
        <v>17434688</v>
      </c>
      <c r="L6" s="44"/>
    </row>
    <row r="7" spans="1:12" customFormat="1" hidden="1">
      <c r="A7" s="30">
        <v>45720</v>
      </c>
      <c r="B7" s="23" t="s">
        <v>16</v>
      </c>
      <c r="C7" s="23">
        <v>250</v>
      </c>
      <c r="D7" s="23" t="s">
        <v>15</v>
      </c>
      <c r="E7" s="23">
        <v>2949</v>
      </c>
      <c r="F7" s="23" t="s">
        <v>130</v>
      </c>
      <c r="G7" s="23" t="s">
        <v>28</v>
      </c>
      <c r="H7" s="34">
        <v>2949</v>
      </c>
      <c r="I7" s="23">
        <v>446</v>
      </c>
      <c r="J7" s="23"/>
      <c r="K7" s="23"/>
    </row>
    <row r="8" spans="1:12" customFormat="1" hidden="1">
      <c r="A8" s="30">
        <v>45781</v>
      </c>
      <c r="B8" s="23" t="s">
        <v>17</v>
      </c>
      <c r="C8" s="23">
        <v>254</v>
      </c>
      <c r="D8" s="23" t="s">
        <v>15</v>
      </c>
      <c r="E8" s="23">
        <v>1567</v>
      </c>
      <c r="F8" s="23" t="s">
        <v>130</v>
      </c>
      <c r="G8" s="23" t="s">
        <v>28</v>
      </c>
      <c r="H8" s="34">
        <v>1567</v>
      </c>
      <c r="I8" s="23">
        <v>446</v>
      </c>
      <c r="J8" s="23"/>
      <c r="K8" s="23"/>
    </row>
    <row r="9" spans="1:12" customFormat="1" hidden="1">
      <c r="A9" s="30">
        <v>45842</v>
      </c>
      <c r="B9" s="23" t="s">
        <v>18</v>
      </c>
      <c r="C9" s="23">
        <v>262</v>
      </c>
      <c r="D9" s="23" t="s">
        <v>15</v>
      </c>
      <c r="E9" s="23">
        <v>6486</v>
      </c>
      <c r="F9" s="23" t="s">
        <v>152</v>
      </c>
      <c r="G9" s="23" t="s">
        <v>28</v>
      </c>
      <c r="H9" s="34">
        <v>6486</v>
      </c>
      <c r="I9" s="23">
        <v>454</v>
      </c>
      <c r="J9" s="23"/>
      <c r="K9" s="23"/>
    </row>
    <row r="10" spans="1:12" customFormat="1">
      <c r="A10" s="30">
        <v>45692</v>
      </c>
      <c r="B10" s="23" t="s">
        <v>19</v>
      </c>
      <c r="C10" s="23">
        <v>248</v>
      </c>
      <c r="D10" s="23" t="s">
        <v>121</v>
      </c>
      <c r="E10" s="23">
        <v>5096</v>
      </c>
      <c r="F10" s="23"/>
      <c r="G10" s="23"/>
      <c r="H10" s="31"/>
      <c r="I10" s="23"/>
      <c r="J10" s="23"/>
      <c r="K10" s="23"/>
    </row>
    <row r="11" spans="1:12" customFormat="1">
      <c r="A11" s="30">
        <v>45692</v>
      </c>
      <c r="B11" s="23" t="s">
        <v>21</v>
      </c>
      <c r="C11" s="23">
        <v>249</v>
      </c>
      <c r="D11" s="23" t="s">
        <v>121</v>
      </c>
      <c r="E11" s="23">
        <v>6029</v>
      </c>
      <c r="F11" s="23"/>
      <c r="G11" s="23"/>
      <c r="H11" s="31"/>
      <c r="I11" s="23"/>
      <c r="J11" s="23"/>
      <c r="K11" s="23"/>
    </row>
    <row r="12" spans="1:12" customFormat="1">
      <c r="A12" s="30">
        <v>45842</v>
      </c>
      <c r="B12" s="23" t="s">
        <v>22</v>
      </c>
      <c r="C12" s="23">
        <v>260</v>
      </c>
      <c r="D12" s="23" t="s">
        <v>121</v>
      </c>
      <c r="E12" s="23">
        <v>3976</v>
      </c>
      <c r="F12" s="23"/>
      <c r="G12" s="23"/>
      <c r="H12" s="31"/>
      <c r="I12" s="23"/>
      <c r="J12" s="23"/>
      <c r="K12" s="23"/>
    </row>
    <row r="13" spans="1:12" customFormat="1">
      <c r="A13" s="30">
        <v>45720</v>
      </c>
      <c r="B13" s="23">
        <v>444</v>
      </c>
      <c r="C13" s="23">
        <v>251</v>
      </c>
      <c r="D13" s="23" t="s">
        <v>23</v>
      </c>
      <c r="E13" s="23">
        <v>5774</v>
      </c>
      <c r="F13" s="23"/>
      <c r="G13" s="23"/>
      <c r="H13" s="31"/>
      <c r="I13" s="23"/>
      <c r="J13" s="23"/>
      <c r="K13" s="23"/>
    </row>
    <row r="14" spans="1:12" customFormat="1">
      <c r="A14" s="30">
        <v>45965</v>
      </c>
      <c r="B14" s="23">
        <v>448</v>
      </c>
      <c r="C14" s="23">
        <v>271</v>
      </c>
      <c r="D14" s="23" t="s">
        <v>23</v>
      </c>
      <c r="E14" s="23">
        <v>2352</v>
      </c>
      <c r="F14" s="23"/>
      <c r="G14" s="23"/>
      <c r="H14" s="31"/>
      <c r="I14" s="23"/>
      <c r="J14" s="23"/>
      <c r="K14" s="23"/>
    </row>
    <row r="15" spans="1:12" customFormat="1">
      <c r="A15" s="30">
        <v>45720</v>
      </c>
      <c r="B15" s="23" t="s">
        <v>24</v>
      </c>
      <c r="C15" s="23">
        <v>252</v>
      </c>
      <c r="D15" s="23" t="s">
        <v>25</v>
      </c>
      <c r="E15" s="23">
        <v>8869</v>
      </c>
      <c r="F15" s="23"/>
      <c r="G15" s="23"/>
      <c r="H15" s="31"/>
      <c r="I15" s="23"/>
      <c r="J15" s="23"/>
      <c r="K15" s="23"/>
    </row>
    <row r="16" spans="1:12" customFormat="1" hidden="1">
      <c r="A16" s="30">
        <v>45781</v>
      </c>
      <c r="B16" s="23" t="s">
        <v>26</v>
      </c>
      <c r="C16" s="23">
        <v>253</v>
      </c>
      <c r="D16" s="23" t="s">
        <v>27</v>
      </c>
      <c r="E16" s="23">
        <v>2627</v>
      </c>
      <c r="F16" s="32">
        <v>45781</v>
      </c>
      <c r="G16" s="23" t="s">
        <v>28</v>
      </c>
      <c r="H16" s="34">
        <v>2627</v>
      </c>
      <c r="I16" s="23">
        <v>429</v>
      </c>
      <c r="J16" s="23"/>
      <c r="K16" s="23"/>
    </row>
    <row r="17" spans="1:11" customFormat="1" hidden="1">
      <c r="A17" s="30">
        <v>45965</v>
      </c>
      <c r="B17" s="23" t="s">
        <v>29</v>
      </c>
      <c r="C17" s="23">
        <v>269</v>
      </c>
      <c r="D17" s="23" t="s">
        <v>30</v>
      </c>
      <c r="E17" s="23">
        <v>5520</v>
      </c>
      <c r="F17" s="32">
        <v>45965</v>
      </c>
      <c r="G17" s="23" t="s">
        <v>31</v>
      </c>
      <c r="H17" s="31">
        <v>5520</v>
      </c>
      <c r="I17" s="23"/>
      <c r="J17" s="23"/>
      <c r="K17" s="23"/>
    </row>
    <row r="18" spans="1:11" customFormat="1" hidden="1">
      <c r="A18" s="30">
        <v>45781</v>
      </c>
      <c r="B18" s="23" t="s">
        <v>33</v>
      </c>
      <c r="C18" s="23">
        <v>258</v>
      </c>
      <c r="D18" s="23" t="s">
        <v>32</v>
      </c>
      <c r="E18" s="23">
        <v>2393</v>
      </c>
      <c r="F18" s="32">
        <v>45781</v>
      </c>
      <c r="G18" s="23" t="s">
        <v>28</v>
      </c>
      <c r="H18" s="34">
        <v>2393</v>
      </c>
      <c r="I18" s="23">
        <v>430</v>
      </c>
      <c r="J18" s="23"/>
      <c r="K18" s="23"/>
    </row>
    <row r="19" spans="1:11" customFormat="1" hidden="1">
      <c r="A19" s="30">
        <v>45781</v>
      </c>
      <c r="B19" s="23" t="s">
        <v>34</v>
      </c>
      <c r="C19" s="23">
        <v>257</v>
      </c>
      <c r="D19" s="23" t="s">
        <v>32</v>
      </c>
      <c r="E19" s="23">
        <v>2715</v>
      </c>
      <c r="F19" s="32">
        <v>45781</v>
      </c>
      <c r="G19" s="23" t="s">
        <v>28</v>
      </c>
      <c r="H19" s="34">
        <v>2715</v>
      </c>
      <c r="I19" s="23">
        <v>431</v>
      </c>
      <c r="J19" s="23"/>
      <c r="K19" s="23"/>
    </row>
    <row r="20" spans="1:11" customFormat="1" hidden="1">
      <c r="A20" s="30">
        <v>45842</v>
      </c>
      <c r="B20" s="23" t="s">
        <v>35</v>
      </c>
      <c r="C20" s="23">
        <v>261</v>
      </c>
      <c r="D20" s="23" t="s">
        <v>32</v>
      </c>
      <c r="E20" s="23">
        <v>3093</v>
      </c>
      <c r="F20" s="32">
        <v>45842</v>
      </c>
      <c r="G20" s="23" t="s">
        <v>28</v>
      </c>
      <c r="H20" s="34">
        <v>3093</v>
      </c>
      <c r="I20" s="23">
        <v>432</v>
      </c>
      <c r="J20" s="23"/>
      <c r="K20" s="23"/>
    </row>
    <row r="21" spans="1:11" customFormat="1" hidden="1">
      <c r="A21" s="30">
        <v>45873</v>
      </c>
      <c r="B21" s="23" t="s">
        <v>36</v>
      </c>
      <c r="C21" s="23">
        <v>263</v>
      </c>
      <c r="D21" s="23" t="s">
        <v>32</v>
      </c>
      <c r="E21" s="23">
        <v>2089</v>
      </c>
      <c r="F21" s="32">
        <v>45904</v>
      </c>
      <c r="G21" s="23" t="s">
        <v>28</v>
      </c>
      <c r="H21" s="34">
        <v>2089</v>
      </c>
      <c r="I21" s="23">
        <v>434</v>
      </c>
      <c r="J21" s="23"/>
      <c r="K21" s="23"/>
    </row>
    <row r="22" spans="1:11" customFormat="1" hidden="1">
      <c r="A22" s="30">
        <v>45904</v>
      </c>
      <c r="B22" s="23" t="s">
        <v>37</v>
      </c>
      <c r="C22" s="23">
        <v>265</v>
      </c>
      <c r="D22" s="23" t="s">
        <v>32</v>
      </c>
      <c r="E22" s="23">
        <v>2279</v>
      </c>
      <c r="F22" s="32">
        <v>45904</v>
      </c>
      <c r="G22" s="23" t="s">
        <v>28</v>
      </c>
      <c r="H22" s="34">
        <v>2279</v>
      </c>
      <c r="I22" s="23">
        <v>434</v>
      </c>
      <c r="J22" s="23"/>
      <c r="K22" s="23"/>
    </row>
    <row r="23" spans="1:11" customFormat="1">
      <c r="A23" s="30">
        <v>45934</v>
      </c>
      <c r="B23" s="23" t="s">
        <v>38</v>
      </c>
      <c r="C23" s="23">
        <v>267</v>
      </c>
      <c r="D23" s="23" t="s">
        <v>32</v>
      </c>
      <c r="E23" s="23">
        <v>2780</v>
      </c>
      <c r="F23" s="23"/>
      <c r="G23" s="23" t="s">
        <v>31</v>
      </c>
      <c r="H23" s="31">
        <v>2780</v>
      </c>
      <c r="I23" s="23"/>
      <c r="J23" s="23"/>
      <c r="K23" s="23"/>
    </row>
    <row r="24" spans="1:11" customFormat="1">
      <c r="A24" s="30">
        <v>45965</v>
      </c>
      <c r="B24" s="23" t="s">
        <v>39</v>
      </c>
      <c r="C24" s="23">
        <v>270</v>
      </c>
      <c r="D24" s="23" t="s">
        <v>32</v>
      </c>
      <c r="E24" s="23">
        <v>4850</v>
      </c>
      <c r="F24" s="23"/>
      <c r="G24" s="23" t="s">
        <v>31</v>
      </c>
      <c r="H24" s="31">
        <v>4850</v>
      </c>
      <c r="I24" s="23"/>
      <c r="J24" s="23"/>
      <c r="K24" s="23"/>
    </row>
    <row r="25" spans="1:11" customFormat="1" hidden="1">
      <c r="A25" s="30">
        <v>45781</v>
      </c>
      <c r="B25" s="23" t="s">
        <v>40</v>
      </c>
      <c r="C25" s="23">
        <v>259</v>
      </c>
      <c r="D25" s="23" t="s">
        <v>41</v>
      </c>
      <c r="E25" s="23">
        <v>18380</v>
      </c>
      <c r="F25" s="32">
        <v>45781</v>
      </c>
      <c r="G25" s="23" t="s">
        <v>28</v>
      </c>
      <c r="H25" s="31">
        <v>18380</v>
      </c>
      <c r="I25" s="23"/>
      <c r="J25" s="23"/>
      <c r="K25" s="23"/>
    </row>
    <row r="26" spans="1:11" customFormat="1" hidden="1">
      <c r="A26" s="30">
        <v>45661</v>
      </c>
      <c r="B26" s="23" t="s">
        <v>42</v>
      </c>
      <c r="C26" s="23">
        <v>245</v>
      </c>
      <c r="D26" s="23" t="s">
        <v>43</v>
      </c>
      <c r="E26" s="23">
        <v>2239</v>
      </c>
      <c r="F26" s="32">
        <v>45661</v>
      </c>
      <c r="G26" s="23" t="s">
        <v>44</v>
      </c>
      <c r="H26" s="31">
        <v>2239</v>
      </c>
      <c r="I26" s="23"/>
      <c r="J26" s="23"/>
      <c r="K26" s="23"/>
    </row>
    <row r="27" spans="1:11" customFormat="1" hidden="1">
      <c r="A27" s="30">
        <v>45904</v>
      </c>
      <c r="B27" s="23" t="s">
        <v>45</v>
      </c>
      <c r="C27" s="23">
        <v>226</v>
      </c>
      <c r="D27" s="23" t="s">
        <v>46</v>
      </c>
      <c r="E27" s="23">
        <v>1400</v>
      </c>
      <c r="F27" s="23" t="s">
        <v>47</v>
      </c>
      <c r="G27" s="23" t="s">
        <v>28</v>
      </c>
      <c r="H27" s="34">
        <v>1400</v>
      </c>
      <c r="I27" s="23">
        <v>435</v>
      </c>
      <c r="J27" s="23"/>
      <c r="K27" s="23"/>
    </row>
    <row r="28" spans="1:11" customFormat="1">
      <c r="A28" s="30" t="s">
        <v>47</v>
      </c>
      <c r="B28" s="23" t="s">
        <v>48</v>
      </c>
      <c r="C28" s="23">
        <v>272</v>
      </c>
      <c r="D28" s="23" t="s">
        <v>49</v>
      </c>
      <c r="E28" s="23">
        <v>2094</v>
      </c>
      <c r="F28" s="23"/>
      <c r="G28" s="23"/>
      <c r="H28" s="31"/>
      <c r="I28" s="23"/>
      <c r="J28" s="23"/>
      <c r="K28" s="23"/>
    </row>
    <row r="29" spans="1:11" customFormat="1" hidden="1">
      <c r="A29" s="30" t="s">
        <v>50</v>
      </c>
      <c r="B29" s="23">
        <v>224</v>
      </c>
      <c r="C29" s="23">
        <v>275</v>
      </c>
      <c r="D29" s="23" t="s">
        <v>51</v>
      </c>
      <c r="E29" s="23">
        <v>4967</v>
      </c>
      <c r="F29" s="32">
        <v>45876</v>
      </c>
      <c r="G29" s="23" t="s">
        <v>31</v>
      </c>
      <c r="H29" s="31">
        <v>4967</v>
      </c>
      <c r="I29" s="23"/>
      <c r="J29" s="23"/>
      <c r="K29" s="23"/>
    </row>
    <row r="30" spans="1:11" customFormat="1">
      <c r="A30" s="30" t="s">
        <v>50</v>
      </c>
      <c r="B30" s="23" t="s">
        <v>52</v>
      </c>
      <c r="C30" s="23">
        <v>273</v>
      </c>
      <c r="D30" s="23" t="s">
        <v>53</v>
      </c>
      <c r="E30" s="23">
        <v>1310</v>
      </c>
      <c r="F30" s="23"/>
      <c r="G30" s="23"/>
      <c r="H30" s="31"/>
      <c r="I30" s="23"/>
      <c r="J30" s="23"/>
      <c r="K30" s="23"/>
    </row>
    <row r="31" spans="1:11" customFormat="1" hidden="1">
      <c r="A31" s="30" t="s">
        <v>50</v>
      </c>
      <c r="B31" s="23" t="s">
        <v>54</v>
      </c>
      <c r="C31" s="23">
        <v>274</v>
      </c>
      <c r="D31" s="23" t="s">
        <v>15</v>
      </c>
      <c r="E31" s="23">
        <v>3337</v>
      </c>
      <c r="F31" s="23" t="s">
        <v>145</v>
      </c>
      <c r="G31" s="23" t="s">
        <v>28</v>
      </c>
      <c r="H31" s="31"/>
      <c r="I31" s="23"/>
      <c r="J31" s="23"/>
      <c r="K31" s="23"/>
    </row>
    <row r="32" spans="1:11" customFormat="1">
      <c r="A32" s="30" t="s">
        <v>56</v>
      </c>
      <c r="B32" s="23" t="s">
        <v>55</v>
      </c>
      <c r="C32" s="23">
        <v>276</v>
      </c>
      <c r="D32" s="23" t="s">
        <v>25</v>
      </c>
      <c r="E32" s="23">
        <v>7886</v>
      </c>
      <c r="F32" s="23"/>
      <c r="G32" s="23"/>
      <c r="H32" s="31"/>
      <c r="I32" s="23"/>
      <c r="J32" s="23"/>
      <c r="K32" s="23"/>
    </row>
    <row r="33" spans="1:12" customFormat="1">
      <c r="A33" s="30" t="s">
        <v>50</v>
      </c>
      <c r="B33" s="23" t="s">
        <v>57</v>
      </c>
      <c r="C33" s="23">
        <v>277</v>
      </c>
      <c r="D33" s="23" t="s">
        <v>25</v>
      </c>
      <c r="E33" s="23">
        <v>3140</v>
      </c>
      <c r="F33" s="23"/>
      <c r="G33" s="23"/>
      <c r="H33" s="31"/>
      <c r="I33" s="23"/>
      <c r="J33" s="23"/>
      <c r="K33" s="23"/>
    </row>
    <row r="34" spans="1:12" customFormat="1">
      <c r="A34" s="30" t="s">
        <v>50</v>
      </c>
      <c r="B34" s="23" t="s">
        <v>58</v>
      </c>
      <c r="C34" s="23">
        <v>278</v>
      </c>
      <c r="D34" s="23" t="s">
        <v>25</v>
      </c>
      <c r="E34" s="23">
        <v>4930</v>
      </c>
      <c r="F34" s="23"/>
      <c r="G34" s="23"/>
      <c r="H34" s="31"/>
      <c r="I34" s="23"/>
      <c r="J34" s="23"/>
      <c r="K34" s="23"/>
    </row>
    <row r="35" spans="1:12" customFormat="1" hidden="1">
      <c r="A35" s="30" t="s">
        <v>59</v>
      </c>
      <c r="B35" s="23">
        <v>246</v>
      </c>
      <c r="C35" s="23">
        <v>279</v>
      </c>
      <c r="D35" s="23" t="s">
        <v>51</v>
      </c>
      <c r="E35" s="23">
        <v>2061</v>
      </c>
      <c r="F35" s="32">
        <v>45876</v>
      </c>
      <c r="G35" s="23" t="s">
        <v>31</v>
      </c>
      <c r="H35" s="31">
        <v>2061</v>
      </c>
      <c r="I35" s="23"/>
      <c r="J35" s="23"/>
      <c r="K35" s="23"/>
    </row>
    <row r="36" spans="1:12">
      <c r="A36" s="30" t="s">
        <v>59</v>
      </c>
      <c r="B36" s="23" t="s">
        <v>60</v>
      </c>
      <c r="C36" s="23">
        <v>280</v>
      </c>
      <c r="D36" s="23" t="s">
        <v>61</v>
      </c>
      <c r="E36" s="23">
        <v>14603</v>
      </c>
      <c r="H36" s="31"/>
      <c r="I36" s="23"/>
      <c r="L36" s="44"/>
    </row>
    <row r="37" spans="1:12" customFormat="1" hidden="1">
      <c r="A37" s="30" t="s">
        <v>62</v>
      </c>
      <c r="B37" s="23" t="s">
        <v>63</v>
      </c>
      <c r="C37" s="23">
        <v>281</v>
      </c>
      <c r="D37" s="23" t="s">
        <v>15</v>
      </c>
      <c r="E37" s="23">
        <v>5871</v>
      </c>
      <c r="F37" s="23" t="s">
        <v>137</v>
      </c>
      <c r="G37" s="23" t="s">
        <v>28</v>
      </c>
      <c r="H37" s="31"/>
      <c r="I37" s="23"/>
      <c r="J37" s="23"/>
      <c r="K37" s="23"/>
    </row>
    <row r="38" spans="1:12" customFormat="1">
      <c r="A38" s="47" t="s">
        <v>64</v>
      </c>
      <c r="B38" s="48" t="s">
        <v>65</v>
      </c>
      <c r="C38" s="48">
        <v>282</v>
      </c>
      <c r="D38" s="48" t="s">
        <v>46</v>
      </c>
      <c r="E38" s="48">
        <v>9360</v>
      </c>
      <c r="F38" s="23"/>
      <c r="G38" s="23" t="s">
        <v>31</v>
      </c>
      <c r="H38" s="31">
        <v>9360</v>
      </c>
      <c r="I38" s="23"/>
      <c r="J38" s="23"/>
      <c r="K38" s="23"/>
    </row>
    <row r="39" spans="1:12" customFormat="1">
      <c r="A39" s="30" t="s">
        <v>66</v>
      </c>
      <c r="B39" s="23" t="s">
        <v>67</v>
      </c>
      <c r="C39" s="23">
        <v>283</v>
      </c>
      <c r="D39" s="23" t="s">
        <v>53</v>
      </c>
      <c r="E39" s="23">
        <v>2021</v>
      </c>
      <c r="F39" s="23"/>
      <c r="G39" s="23"/>
      <c r="H39" s="31"/>
      <c r="I39" s="23"/>
      <c r="J39" s="23"/>
      <c r="K39" s="23"/>
    </row>
    <row r="40" spans="1:12" customFormat="1" hidden="1">
      <c r="A40" s="30" t="s">
        <v>66</v>
      </c>
      <c r="B40" s="23" t="s">
        <v>68</v>
      </c>
      <c r="C40" s="23">
        <v>284</v>
      </c>
      <c r="D40" s="23" t="s">
        <v>15</v>
      </c>
      <c r="E40" s="23">
        <v>1670</v>
      </c>
      <c r="F40" s="23" t="s">
        <v>209</v>
      </c>
      <c r="G40" s="23" t="s">
        <v>28</v>
      </c>
      <c r="H40" s="34">
        <v>1670</v>
      </c>
      <c r="I40" s="23">
        <v>457</v>
      </c>
      <c r="J40" s="23"/>
      <c r="K40" s="23"/>
    </row>
    <row r="41" spans="1:12" customFormat="1">
      <c r="A41" s="30" t="s">
        <v>66</v>
      </c>
      <c r="B41" s="23" t="s">
        <v>69</v>
      </c>
      <c r="C41" s="23">
        <v>285</v>
      </c>
      <c r="D41" s="23" t="s">
        <v>25</v>
      </c>
      <c r="E41" s="23">
        <v>1584</v>
      </c>
      <c r="F41" s="23"/>
      <c r="G41" s="23"/>
      <c r="H41" s="31"/>
      <c r="I41" s="23"/>
      <c r="J41" s="23"/>
      <c r="K41" s="23"/>
    </row>
    <row r="42" spans="1:12" customFormat="1">
      <c r="A42" s="30" t="s">
        <v>72</v>
      </c>
      <c r="B42" s="23" t="s">
        <v>70</v>
      </c>
      <c r="C42" s="23">
        <v>286</v>
      </c>
      <c r="D42" s="23" t="s">
        <v>25</v>
      </c>
      <c r="E42" s="23">
        <v>4235</v>
      </c>
      <c r="F42" s="23"/>
      <c r="G42" s="23"/>
      <c r="H42" s="31"/>
      <c r="I42" s="23"/>
      <c r="J42" s="23"/>
      <c r="K42" s="23"/>
    </row>
    <row r="43" spans="1:12" customFormat="1">
      <c r="A43" s="30" t="s">
        <v>71</v>
      </c>
      <c r="B43" s="23">
        <v>452</v>
      </c>
      <c r="C43" s="23">
        <v>287</v>
      </c>
      <c r="D43" s="23" t="s">
        <v>23</v>
      </c>
      <c r="E43" s="23">
        <v>13502</v>
      </c>
      <c r="F43" s="23"/>
      <c r="G43" s="23"/>
      <c r="H43" s="31"/>
      <c r="I43" s="23"/>
      <c r="J43" s="23"/>
      <c r="K43" s="23"/>
    </row>
    <row r="44" spans="1:12" customFormat="1" hidden="1">
      <c r="A44" s="30" t="s">
        <v>71</v>
      </c>
      <c r="B44" s="23" t="s">
        <v>74</v>
      </c>
      <c r="C44" s="23">
        <v>288</v>
      </c>
      <c r="D44" s="23" t="s">
        <v>73</v>
      </c>
      <c r="E44" s="23">
        <v>4621</v>
      </c>
      <c r="F44" s="32">
        <v>45722</v>
      </c>
      <c r="G44" s="23" t="s">
        <v>28</v>
      </c>
      <c r="H44" s="31">
        <v>4621</v>
      </c>
      <c r="I44" s="23">
        <v>460</v>
      </c>
      <c r="J44" s="23"/>
      <c r="K44" s="23"/>
    </row>
    <row r="45" spans="1:12" customFormat="1">
      <c r="A45" s="30" t="s">
        <v>71</v>
      </c>
      <c r="B45" s="23" t="s">
        <v>75</v>
      </c>
      <c r="C45" s="23">
        <v>289</v>
      </c>
      <c r="D45" s="23" t="s">
        <v>76</v>
      </c>
      <c r="E45" s="23">
        <v>5376</v>
      </c>
      <c r="F45" s="23"/>
      <c r="G45" s="23"/>
      <c r="H45" s="31"/>
      <c r="I45" s="23"/>
      <c r="J45" s="23"/>
      <c r="K45" s="23"/>
    </row>
    <row r="46" spans="1:12" hidden="1">
      <c r="A46" s="30" t="s">
        <v>83</v>
      </c>
      <c r="B46" s="23" t="s">
        <v>84</v>
      </c>
      <c r="C46" s="23">
        <v>292</v>
      </c>
      <c r="D46" s="23" t="s">
        <v>106</v>
      </c>
      <c r="E46" s="23">
        <v>9056</v>
      </c>
      <c r="F46" s="32">
        <v>45696</v>
      </c>
      <c r="G46" s="23" t="s">
        <v>28</v>
      </c>
      <c r="H46" s="61">
        <v>9056</v>
      </c>
      <c r="I46" s="56">
        <v>870</v>
      </c>
      <c r="L46" s="44"/>
    </row>
    <row r="47" spans="1:12" customFormat="1" hidden="1">
      <c r="A47" s="30" t="s">
        <v>83</v>
      </c>
      <c r="B47" s="23">
        <v>321</v>
      </c>
      <c r="C47" s="23">
        <v>290</v>
      </c>
      <c r="D47" s="23" t="s">
        <v>51</v>
      </c>
      <c r="E47" s="23">
        <v>2772</v>
      </c>
      <c r="F47" s="32">
        <v>45876</v>
      </c>
      <c r="G47" s="23" t="s">
        <v>31</v>
      </c>
      <c r="H47" s="31">
        <v>2772</v>
      </c>
      <c r="I47" s="23"/>
      <c r="J47" s="23"/>
      <c r="K47" s="23"/>
    </row>
    <row r="48" spans="1:12">
      <c r="A48" s="30" t="s">
        <v>83</v>
      </c>
      <c r="B48" s="23" t="s">
        <v>85</v>
      </c>
      <c r="C48" s="23">
        <v>291</v>
      </c>
      <c r="D48" s="23" t="s">
        <v>61</v>
      </c>
      <c r="E48" s="23">
        <v>12028</v>
      </c>
      <c r="H48" s="31"/>
      <c r="I48" s="23"/>
      <c r="L48" s="44"/>
    </row>
    <row r="49" spans="1:12" customFormat="1">
      <c r="A49" s="30" t="s">
        <v>78</v>
      </c>
      <c r="B49" s="23" t="s">
        <v>77</v>
      </c>
      <c r="C49" s="23">
        <v>293</v>
      </c>
      <c r="D49" s="23" t="s">
        <v>76</v>
      </c>
      <c r="E49" s="23">
        <v>8293</v>
      </c>
      <c r="F49" s="23"/>
      <c r="G49" s="23"/>
      <c r="H49" s="31"/>
      <c r="I49" s="23"/>
      <c r="J49" s="23"/>
      <c r="K49" s="23"/>
    </row>
    <row r="50" spans="1:12" customFormat="1">
      <c r="A50" s="30" t="s">
        <v>79</v>
      </c>
      <c r="B50" s="23" t="s">
        <v>80</v>
      </c>
      <c r="C50" s="23">
        <v>294</v>
      </c>
      <c r="D50" s="23" t="s">
        <v>76</v>
      </c>
      <c r="E50" s="23">
        <v>1200</v>
      </c>
      <c r="F50" s="23"/>
      <c r="G50" s="23"/>
      <c r="H50" s="31"/>
      <c r="I50" s="23"/>
      <c r="J50" s="23"/>
      <c r="K50" s="23"/>
    </row>
    <row r="51" spans="1:12" customFormat="1">
      <c r="A51" s="30" t="s">
        <v>79</v>
      </c>
      <c r="B51" s="23" t="s">
        <v>81</v>
      </c>
      <c r="C51" s="23">
        <v>295</v>
      </c>
      <c r="D51" s="23" t="s">
        <v>53</v>
      </c>
      <c r="E51" s="23">
        <v>639</v>
      </c>
      <c r="F51" s="23"/>
      <c r="G51" s="23"/>
      <c r="H51" s="31"/>
      <c r="I51" s="23"/>
      <c r="J51" s="23"/>
      <c r="K51" s="23"/>
    </row>
    <row r="52" spans="1:12">
      <c r="A52" s="30" t="s">
        <v>79</v>
      </c>
      <c r="B52" s="23" t="s">
        <v>95</v>
      </c>
      <c r="C52" s="23">
        <v>296</v>
      </c>
      <c r="D52" s="23" t="s">
        <v>61</v>
      </c>
      <c r="E52" s="23">
        <v>3699</v>
      </c>
      <c r="H52" s="31"/>
      <c r="I52" s="23"/>
      <c r="L52" s="44"/>
    </row>
    <row r="53" spans="1:12" customFormat="1" hidden="1">
      <c r="A53" s="30" t="s">
        <v>79</v>
      </c>
      <c r="B53" s="23" t="s">
        <v>82</v>
      </c>
      <c r="C53" s="23">
        <v>297</v>
      </c>
      <c r="D53" s="23" t="s">
        <v>15</v>
      </c>
      <c r="E53" s="23">
        <v>2703</v>
      </c>
      <c r="F53" s="23" t="s">
        <v>210</v>
      </c>
      <c r="G53" s="23" t="s">
        <v>28</v>
      </c>
      <c r="H53" s="34">
        <v>2703</v>
      </c>
      <c r="I53" s="23">
        <v>457</v>
      </c>
      <c r="J53" s="23"/>
      <c r="K53" s="23"/>
    </row>
    <row r="54" spans="1:12" customFormat="1">
      <c r="A54" s="30" t="s">
        <v>86</v>
      </c>
      <c r="B54" s="23" t="s">
        <v>87</v>
      </c>
      <c r="C54" s="23">
        <v>299</v>
      </c>
      <c r="D54" s="23" t="s">
        <v>76</v>
      </c>
      <c r="E54" s="23">
        <v>1834</v>
      </c>
      <c r="F54" s="23"/>
      <c r="G54" s="23"/>
      <c r="H54" s="31"/>
      <c r="I54" s="23"/>
      <c r="J54" s="23"/>
      <c r="K54" s="23"/>
    </row>
    <row r="55" spans="1:12" customFormat="1" hidden="1">
      <c r="A55" s="30" t="s">
        <v>86</v>
      </c>
      <c r="B55" s="23" t="s">
        <v>88</v>
      </c>
      <c r="C55" s="23">
        <v>298</v>
      </c>
      <c r="D55" s="23" t="s">
        <v>15</v>
      </c>
      <c r="E55" s="23">
        <v>1031</v>
      </c>
      <c r="F55" s="32">
        <v>45663</v>
      </c>
      <c r="G55" s="23" t="s">
        <v>28</v>
      </c>
      <c r="H55" s="31"/>
      <c r="I55" s="23"/>
      <c r="J55" s="23"/>
      <c r="K55" s="23"/>
    </row>
    <row r="56" spans="1:12" customFormat="1">
      <c r="A56" s="30" t="s">
        <v>86</v>
      </c>
      <c r="B56" s="23" t="s">
        <v>89</v>
      </c>
      <c r="C56" s="23">
        <v>300</v>
      </c>
      <c r="D56" s="23" t="s">
        <v>106</v>
      </c>
      <c r="E56" s="23">
        <v>2712</v>
      </c>
      <c r="F56" s="23"/>
      <c r="G56" s="23" t="s">
        <v>28</v>
      </c>
      <c r="H56" s="61"/>
      <c r="I56" s="23"/>
      <c r="J56" s="23"/>
      <c r="K56" s="23"/>
    </row>
    <row r="57" spans="1:12" customFormat="1">
      <c r="A57" s="30" t="s">
        <v>90</v>
      </c>
      <c r="B57" s="23" t="s">
        <v>91</v>
      </c>
      <c r="C57" s="23">
        <v>301</v>
      </c>
      <c r="D57" s="23" t="s">
        <v>106</v>
      </c>
      <c r="E57" s="23">
        <v>1659</v>
      </c>
      <c r="F57" s="23"/>
      <c r="G57" s="23" t="s">
        <v>28</v>
      </c>
      <c r="H57" s="61"/>
      <c r="I57" s="23"/>
      <c r="J57" s="23"/>
      <c r="K57" s="23"/>
    </row>
    <row r="58" spans="1:12" customFormat="1">
      <c r="A58" s="30" t="s">
        <v>92</v>
      </c>
      <c r="B58" s="23" t="s">
        <v>93</v>
      </c>
      <c r="C58" s="23">
        <v>302</v>
      </c>
      <c r="D58" s="23" t="s">
        <v>53</v>
      </c>
      <c r="E58" s="23">
        <v>873</v>
      </c>
      <c r="F58" s="23"/>
      <c r="G58" s="23"/>
      <c r="H58" s="31"/>
      <c r="I58" s="23"/>
      <c r="J58" s="23"/>
      <c r="K58" s="23"/>
    </row>
    <row r="59" spans="1:12">
      <c r="A59" s="30" t="s">
        <v>92</v>
      </c>
      <c r="B59" s="23" t="s">
        <v>94</v>
      </c>
      <c r="C59" s="23">
        <v>303</v>
      </c>
      <c r="D59" s="23" t="s">
        <v>106</v>
      </c>
      <c r="E59" s="23">
        <v>8472</v>
      </c>
      <c r="H59" s="61"/>
      <c r="L59" s="44"/>
    </row>
    <row r="60" spans="1:12" customFormat="1">
      <c r="A60" s="45">
        <v>45721</v>
      </c>
      <c r="B60" s="43" t="s">
        <v>100</v>
      </c>
      <c r="C60" s="46">
        <v>306</v>
      </c>
      <c r="D60" s="43" t="s">
        <v>76</v>
      </c>
      <c r="E60" s="46">
        <v>5565</v>
      </c>
      <c r="F60" s="43"/>
      <c r="G60" s="43"/>
      <c r="H60" s="43"/>
      <c r="I60" s="43"/>
      <c r="J60" s="23"/>
      <c r="K60" s="23"/>
    </row>
    <row r="61" spans="1:12" customFormat="1">
      <c r="A61" s="45">
        <v>45721</v>
      </c>
      <c r="B61" s="43" t="s">
        <v>102</v>
      </c>
      <c r="C61" s="23">
        <v>307</v>
      </c>
      <c r="D61" s="23" t="s">
        <v>76</v>
      </c>
      <c r="E61" s="23">
        <v>3150</v>
      </c>
      <c r="F61" s="23"/>
      <c r="G61" s="23"/>
      <c r="H61" s="23"/>
      <c r="I61" s="23"/>
      <c r="J61" s="23"/>
      <c r="K61" s="23"/>
    </row>
    <row r="62" spans="1:12" customFormat="1">
      <c r="A62" s="45">
        <v>45721</v>
      </c>
      <c r="B62" s="23" t="s">
        <v>103</v>
      </c>
      <c r="C62" s="23">
        <v>304</v>
      </c>
      <c r="D62" s="23" t="s">
        <v>104</v>
      </c>
      <c r="E62" s="23">
        <v>7224</v>
      </c>
      <c r="F62" s="23"/>
      <c r="G62" s="23"/>
      <c r="H62" s="23"/>
      <c r="I62" s="23"/>
      <c r="J62" s="23"/>
      <c r="K62" s="23"/>
    </row>
    <row r="63" spans="1:12" customFormat="1" hidden="1">
      <c r="A63" s="45">
        <v>45721</v>
      </c>
      <c r="B63" s="23" t="s">
        <v>107</v>
      </c>
      <c r="C63" s="23">
        <v>305</v>
      </c>
      <c r="D63" s="23" t="s">
        <v>73</v>
      </c>
      <c r="E63" s="23">
        <v>1006</v>
      </c>
      <c r="F63" s="32">
        <v>45967</v>
      </c>
      <c r="G63" s="23" t="s">
        <v>157</v>
      </c>
      <c r="H63" s="26">
        <v>1006</v>
      </c>
      <c r="I63" s="23">
        <v>465</v>
      </c>
      <c r="J63" s="23"/>
      <c r="K63" s="23"/>
    </row>
    <row r="64" spans="1:12" customFormat="1">
      <c r="A64" s="45">
        <v>45721</v>
      </c>
      <c r="B64" s="23" t="s">
        <v>108</v>
      </c>
      <c r="C64" s="23">
        <v>308</v>
      </c>
      <c r="D64" s="23" t="s">
        <v>109</v>
      </c>
      <c r="E64" s="23">
        <v>5107</v>
      </c>
      <c r="F64" s="23"/>
      <c r="G64" s="23"/>
      <c r="H64" s="23"/>
      <c r="I64" s="23"/>
      <c r="J64" s="23"/>
      <c r="K64" s="23"/>
    </row>
    <row r="65" spans="1:12" hidden="1">
      <c r="A65" s="30">
        <v>45782</v>
      </c>
      <c r="B65" s="23" t="s">
        <v>105</v>
      </c>
      <c r="C65" s="23">
        <v>308</v>
      </c>
      <c r="D65" s="23" t="s">
        <v>106</v>
      </c>
      <c r="E65" s="23">
        <v>3217</v>
      </c>
      <c r="F65" s="36">
        <v>45906</v>
      </c>
      <c r="G65" s="23" t="s">
        <v>157</v>
      </c>
      <c r="H65" s="34">
        <v>3217</v>
      </c>
      <c r="I65" s="23">
        <v>462</v>
      </c>
      <c r="L65" s="44"/>
    </row>
    <row r="66" spans="1:12">
      <c r="A66" s="30">
        <v>45813</v>
      </c>
      <c r="B66" s="23" t="s">
        <v>110</v>
      </c>
      <c r="C66" s="23">
        <v>310</v>
      </c>
      <c r="D66" s="23" t="s">
        <v>61</v>
      </c>
      <c r="E66" s="23">
        <v>3427</v>
      </c>
      <c r="H66" s="23"/>
      <c r="I66" s="23"/>
      <c r="L66" s="44"/>
    </row>
    <row r="67" spans="1:12">
      <c r="A67" s="30">
        <v>45843</v>
      </c>
      <c r="B67" s="23" t="s">
        <v>111</v>
      </c>
      <c r="C67" s="23">
        <v>311</v>
      </c>
      <c r="D67" s="23" t="s">
        <v>106</v>
      </c>
      <c r="E67" s="23">
        <v>7567</v>
      </c>
      <c r="F67" s="35"/>
      <c r="H67" s="56"/>
      <c r="L67" s="44"/>
    </row>
    <row r="68" spans="1:12" hidden="1">
      <c r="A68" s="30">
        <v>45874</v>
      </c>
      <c r="B68" s="23" t="s">
        <v>112</v>
      </c>
      <c r="C68" s="23">
        <v>313</v>
      </c>
      <c r="D68" s="23" t="s">
        <v>106</v>
      </c>
      <c r="E68" s="23">
        <v>4476</v>
      </c>
      <c r="F68" s="35" t="s">
        <v>174</v>
      </c>
      <c r="G68" s="23" t="s">
        <v>157</v>
      </c>
      <c r="H68" s="34">
        <v>4476</v>
      </c>
      <c r="I68" s="23">
        <v>476</v>
      </c>
      <c r="L68" s="44"/>
    </row>
    <row r="69" spans="1:12">
      <c r="A69" s="30">
        <v>45874</v>
      </c>
      <c r="B69" s="23" t="s">
        <v>113</v>
      </c>
      <c r="C69" s="23">
        <v>312</v>
      </c>
      <c r="D69" s="23" t="s">
        <v>76</v>
      </c>
      <c r="E69" s="23">
        <v>3704</v>
      </c>
      <c r="H69" s="23"/>
      <c r="I69" s="23"/>
      <c r="L69" s="44"/>
    </row>
    <row r="70" spans="1:12">
      <c r="A70" s="30">
        <v>45905</v>
      </c>
      <c r="B70" s="23" t="s">
        <v>114</v>
      </c>
      <c r="C70" s="23">
        <v>314</v>
      </c>
      <c r="D70" s="23" t="s">
        <v>76</v>
      </c>
      <c r="E70" s="23">
        <v>3080</v>
      </c>
      <c r="H70" s="23"/>
      <c r="I70" s="23"/>
      <c r="L70" s="44"/>
    </row>
    <row r="71" spans="1:12" hidden="1">
      <c r="A71" s="30">
        <v>45905</v>
      </c>
      <c r="B71" s="23" t="s">
        <v>115</v>
      </c>
      <c r="C71" s="23">
        <v>315</v>
      </c>
      <c r="D71" s="23" t="s">
        <v>106</v>
      </c>
      <c r="E71" s="23">
        <v>5650</v>
      </c>
      <c r="F71" s="35" t="s">
        <v>164</v>
      </c>
      <c r="G71" s="23" t="s">
        <v>157</v>
      </c>
      <c r="H71" s="34">
        <v>5650</v>
      </c>
      <c r="I71" s="23">
        <v>468</v>
      </c>
      <c r="L71" s="44"/>
    </row>
    <row r="72" spans="1:12" customFormat="1">
      <c r="A72" s="30">
        <v>45996</v>
      </c>
      <c r="B72" s="23" t="s">
        <v>116</v>
      </c>
      <c r="C72" s="23">
        <v>316</v>
      </c>
      <c r="D72" s="23" t="s">
        <v>117</v>
      </c>
      <c r="E72" s="23">
        <v>12432</v>
      </c>
      <c r="F72" s="23"/>
      <c r="G72" s="23"/>
      <c r="H72" s="23"/>
      <c r="I72" s="23"/>
      <c r="J72" s="23"/>
      <c r="K72" s="23"/>
    </row>
    <row r="73" spans="1:12">
      <c r="A73" s="30" t="s">
        <v>118</v>
      </c>
      <c r="B73" s="23" t="s">
        <v>119</v>
      </c>
      <c r="C73" s="23">
        <v>317</v>
      </c>
      <c r="D73" s="23" t="s">
        <v>106</v>
      </c>
      <c r="E73" s="23">
        <v>5634</v>
      </c>
      <c r="F73" s="35"/>
      <c r="H73" s="56"/>
      <c r="L73" s="44"/>
    </row>
    <row r="74" spans="1:12" customFormat="1">
      <c r="A74" s="30" t="s">
        <v>118</v>
      </c>
      <c r="B74" s="23" t="s">
        <v>120</v>
      </c>
      <c r="C74" s="23">
        <v>318</v>
      </c>
      <c r="D74" s="23" t="s">
        <v>121</v>
      </c>
      <c r="E74" s="23">
        <v>3248</v>
      </c>
      <c r="F74" s="23"/>
      <c r="G74" s="23"/>
      <c r="H74" s="23"/>
      <c r="I74" s="23"/>
      <c r="J74" s="23"/>
      <c r="K74" s="23"/>
    </row>
    <row r="75" spans="1:12" customFormat="1" hidden="1">
      <c r="A75" s="30" t="s">
        <v>122</v>
      </c>
      <c r="B75" s="23" t="s">
        <v>123</v>
      </c>
      <c r="C75" s="23">
        <v>320</v>
      </c>
      <c r="D75" s="23" t="s">
        <v>73</v>
      </c>
      <c r="E75" s="23">
        <v>2515</v>
      </c>
      <c r="F75" s="23" t="s">
        <v>185</v>
      </c>
      <c r="G75" s="23" t="s">
        <v>157</v>
      </c>
      <c r="H75" s="34">
        <v>2515</v>
      </c>
      <c r="I75" s="23">
        <v>478</v>
      </c>
      <c r="J75" s="23"/>
      <c r="K75" s="23"/>
    </row>
    <row r="76" spans="1:12" customFormat="1" hidden="1">
      <c r="A76" s="30" t="s">
        <v>124</v>
      </c>
      <c r="B76" s="23" t="s">
        <v>125</v>
      </c>
      <c r="C76" s="23">
        <v>319</v>
      </c>
      <c r="D76" s="23" t="s">
        <v>73</v>
      </c>
      <c r="E76" s="23">
        <v>3002</v>
      </c>
      <c r="F76" s="32" t="s">
        <v>201</v>
      </c>
      <c r="G76" s="23" t="s">
        <v>157</v>
      </c>
      <c r="H76" s="34">
        <v>3002</v>
      </c>
      <c r="I76" s="23">
        <v>472</v>
      </c>
      <c r="J76" s="23"/>
      <c r="K76" s="23"/>
    </row>
    <row r="77" spans="1:12" customFormat="1" hidden="1">
      <c r="A77" s="30" t="s">
        <v>124</v>
      </c>
      <c r="B77" s="23" t="s">
        <v>126</v>
      </c>
      <c r="C77" s="23">
        <v>322</v>
      </c>
      <c r="D77" s="23" t="s">
        <v>73</v>
      </c>
      <c r="E77" s="23">
        <v>2354</v>
      </c>
      <c r="F77" s="32" t="s">
        <v>169</v>
      </c>
      <c r="G77" s="23" t="s">
        <v>157</v>
      </c>
      <c r="H77" s="34">
        <v>2354</v>
      </c>
      <c r="I77" s="23">
        <v>473</v>
      </c>
      <c r="J77" s="23"/>
      <c r="K77" s="23"/>
    </row>
    <row r="78" spans="1:12" hidden="1">
      <c r="A78" s="30" t="s">
        <v>124</v>
      </c>
      <c r="B78" s="23" t="s">
        <v>127</v>
      </c>
      <c r="C78" s="23">
        <v>321</v>
      </c>
      <c r="D78" s="23" t="s">
        <v>106</v>
      </c>
      <c r="E78" s="23">
        <v>2996</v>
      </c>
      <c r="F78" s="36">
        <v>45967</v>
      </c>
      <c r="G78" s="23" t="s">
        <v>157</v>
      </c>
      <c r="H78" s="34">
        <v>2996</v>
      </c>
      <c r="I78" s="23">
        <v>466</v>
      </c>
      <c r="L78" s="44"/>
    </row>
    <row r="79" spans="1:12">
      <c r="A79" s="30" t="s">
        <v>129</v>
      </c>
      <c r="B79" s="23" t="s">
        <v>128</v>
      </c>
      <c r="C79" s="23">
        <v>323</v>
      </c>
      <c r="D79" s="23" t="s">
        <v>76</v>
      </c>
      <c r="E79" s="23">
        <v>4151</v>
      </c>
      <c r="F79" s="32"/>
      <c r="H79" s="23"/>
      <c r="I79" s="23"/>
      <c r="L79" s="44"/>
    </row>
    <row r="80" spans="1:12" customFormat="1">
      <c r="A80" s="30" t="s">
        <v>130</v>
      </c>
      <c r="B80" s="23" t="s">
        <v>131</v>
      </c>
      <c r="C80" s="23">
        <v>324</v>
      </c>
      <c r="D80" s="23" t="s">
        <v>132</v>
      </c>
      <c r="E80" s="23">
        <v>2310</v>
      </c>
      <c r="F80" s="32"/>
      <c r="G80" s="23"/>
      <c r="H80" s="23"/>
      <c r="I80" s="23"/>
      <c r="J80" s="23"/>
      <c r="K80" s="23"/>
    </row>
    <row r="81" spans="1:12" customFormat="1">
      <c r="A81" s="30" t="s">
        <v>133</v>
      </c>
      <c r="B81" s="23" t="s">
        <v>134</v>
      </c>
      <c r="C81" s="23">
        <v>332</v>
      </c>
      <c r="D81" s="23" t="s">
        <v>135</v>
      </c>
      <c r="E81" s="23">
        <v>893</v>
      </c>
      <c r="F81" s="32"/>
      <c r="G81" s="23"/>
      <c r="H81" s="23"/>
      <c r="I81" s="23"/>
      <c r="J81" s="23"/>
      <c r="K81" s="23"/>
    </row>
    <row r="82" spans="1:12" customFormat="1" hidden="1">
      <c r="A82" s="30" t="s">
        <v>137</v>
      </c>
      <c r="B82" s="23" t="s">
        <v>138</v>
      </c>
      <c r="C82" s="23">
        <v>327</v>
      </c>
      <c r="D82" s="23" t="s">
        <v>136</v>
      </c>
      <c r="E82" s="23">
        <v>6613</v>
      </c>
      <c r="F82" s="32" t="s">
        <v>137</v>
      </c>
      <c r="G82" s="23" t="s">
        <v>28</v>
      </c>
      <c r="H82" s="23">
        <v>6613</v>
      </c>
      <c r="I82" s="23" t="s">
        <v>235</v>
      </c>
      <c r="J82" s="23"/>
      <c r="K82" s="23"/>
    </row>
    <row r="83" spans="1:12">
      <c r="A83" s="30" t="s">
        <v>137</v>
      </c>
      <c r="B83" s="23" t="s">
        <v>139</v>
      </c>
      <c r="C83" s="23">
        <v>329</v>
      </c>
      <c r="D83" s="23" t="s">
        <v>106</v>
      </c>
      <c r="E83" s="23">
        <v>5772</v>
      </c>
      <c r="F83" s="36"/>
      <c r="H83" s="56"/>
      <c r="L83" s="44"/>
    </row>
    <row r="84" spans="1:12" hidden="1">
      <c r="A84" s="30" t="s">
        <v>133</v>
      </c>
      <c r="B84" s="23" t="s">
        <v>140</v>
      </c>
      <c r="C84" s="23">
        <v>325</v>
      </c>
      <c r="D84" s="23" t="s">
        <v>106</v>
      </c>
      <c r="E84" s="23">
        <v>2781</v>
      </c>
      <c r="F84" s="36" t="s">
        <v>202</v>
      </c>
      <c r="G84" s="23" t="s">
        <v>157</v>
      </c>
      <c r="H84" s="34">
        <v>2781</v>
      </c>
      <c r="I84" s="23">
        <v>480</v>
      </c>
      <c r="L84" s="44"/>
    </row>
    <row r="85" spans="1:12">
      <c r="A85" s="30" t="s">
        <v>133</v>
      </c>
      <c r="B85" s="23" t="s">
        <v>141</v>
      </c>
      <c r="C85" s="23">
        <v>326</v>
      </c>
      <c r="D85" s="23" t="s">
        <v>76</v>
      </c>
      <c r="E85" s="23">
        <v>2261</v>
      </c>
      <c r="F85" s="32"/>
      <c r="H85" s="23"/>
      <c r="I85" s="23"/>
      <c r="L85" s="44"/>
    </row>
    <row r="86" spans="1:12" customFormat="1">
      <c r="A86" s="30" t="s">
        <v>137</v>
      </c>
      <c r="B86" s="23" t="s">
        <v>142</v>
      </c>
      <c r="C86" s="23">
        <v>330</v>
      </c>
      <c r="D86" s="23" t="s">
        <v>109</v>
      </c>
      <c r="E86" s="23">
        <v>5908</v>
      </c>
      <c r="F86" s="32"/>
      <c r="G86" s="23"/>
      <c r="H86" s="23"/>
      <c r="I86" s="23"/>
      <c r="J86" s="23"/>
      <c r="K86" s="23"/>
    </row>
    <row r="87" spans="1:12" customFormat="1" hidden="1">
      <c r="A87" s="30" t="s">
        <v>137</v>
      </c>
      <c r="B87" s="23">
        <v>754</v>
      </c>
      <c r="C87" s="23">
        <v>328</v>
      </c>
      <c r="D87" s="23" t="s">
        <v>51</v>
      </c>
      <c r="E87" s="23">
        <v>4913</v>
      </c>
      <c r="F87" s="32">
        <v>45876</v>
      </c>
      <c r="G87" s="23" t="s">
        <v>31</v>
      </c>
      <c r="H87" s="23">
        <v>4913</v>
      </c>
      <c r="I87" s="23"/>
      <c r="J87" s="23"/>
      <c r="K87" s="23"/>
    </row>
    <row r="88" spans="1:12" customFormat="1" hidden="1">
      <c r="A88" s="30" t="s">
        <v>143</v>
      </c>
      <c r="B88" s="23" t="s">
        <v>144</v>
      </c>
      <c r="C88" s="23">
        <v>331</v>
      </c>
      <c r="D88" s="23" t="s">
        <v>136</v>
      </c>
      <c r="E88" s="23">
        <v>6200</v>
      </c>
      <c r="F88" s="32" t="s">
        <v>137</v>
      </c>
      <c r="G88" s="23" t="s">
        <v>28</v>
      </c>
      <c r="H88" s="23">
        <v>6200</v>
      </c>
      <c r="I88" s="23" t="s">
        <v>235</v>
      </c>
      <c r="J88" s="23"/>
      <c r="K88" s="23"/>
    </row>
    <row r="89" spans="1:12">
      <c r="A89" s="30" t="s">
        <v>145</v>
      </c>
      <c r="B89" s="23" t="s">
        <v>146</v>
      </c>
      <c r="C89" s="23">
        <v>334</v>
      </c>
      <c r="D89" s="23" t="s">
        <v>106</v>
      </c>
      <c r="E89" s="23">
        <v>2361</v>
      </c>
      <c r="F89" s="36"/>
      <c r="H89" s="56"/>
      <c r="L89" s="44"/>
    </row>
    <row r="90" spans="1:12" customFormat="1">
      <c r="A90" s="30" t="s">
        <v>145</v>
      </c>
      <c r="B90" s="23" t="s">
        <v>147</v>
      </c>
      <c r="C90" s="23">
        <v>335</v>
      </c>
      <c r="D90" s="23" t="s">
        <v>117</v>
      </c>
      <c r="E90" s="23">
        <v>12712</v>
      </c>
      <c r="F90" s="32"/>
      <c r="G90" s="23"/>
      <c r="H90" s="23"/>
      <c r="I90" s="23"/>
      <c r="J90" s="23"/>
      <c r="K90" s="23"/>
    </row>
    <row r="91" spans="1:12" customFormat="1">
      <c r="A91" s="30" t="s">
        <v>145</v>
      </c>
      <c r="B91" s="23" t="s">
        <v>148</v>
      </c>
      <c r="C91" s="23">
        <v>333</v>
      </c>
      <c r="D91" s="23" t="s">
        <v>121</v>
      </c>
      <c r="E91" s="23">
        <v>5018</v>
      </c>
      <c r="F91" s="32"/>
      <c r="G91" s="23"/>
      <c r="H91" s="23"/>
      <c r="I91" s="23"/>
      <c r="J91" s="23"/>
      <c r="K91" s="23"/>
    </row>
    <row r="92" spans="1:12">
      <c r="A92" s="30" t="s">
        <v>145</v>
      </c>
      <c r="B92" s="23" t="s">
        <v>149</v>
      </c>
      <c r="C92" s="23">
        <v>336</v>
      </c>
      <c r="D92" s="23" t="s">
        <v>106</v>
      </c>
      <c r="E92" s="23">
        <v>4709</v>
      </c>
      <c r="F92" s="36"/>
      <c r="H92" s="56"/>
      <c r="L92" s="44"/>
    </row>
    <row r="93" spans="1:12" customFormat="1">
      <c r="A93" s="30" t="s">
        <v>151</v>
      </c>
      <c r="B93" s="23" t="s">
        <v>150</v>
      </c>
      <c r="C93" s="23">
        <v>337</v>
      </c>
      <c r="D93" s="23" t="s">
        <v>117</v>
      </c>
      <c r="E93" s="23">
        <v>2688</v>
      </c>
      <c r="F93" s="32"/>
      <c r="G93" s="23"/>
      <c r="H93" s="23"/>
      <c r="I93" s="23"/>
      <c r="J93" s="23"/>
      <c r="K93" s="23"/>
    </row>
    <row r="94" spans="1:12" customFormat="1">
      <c r="A94" s="30" t="s">
        <v>151</v>
      </c>
      <c r="B94" s="23">
        <v>462</v>
      </c>
      <c r="C94" s="23">
        <v>338</v>
      </c>
      <c r="D94" s="23" t="s">
        <v>23</v>
      </c>
      <c r="E94" s="23">
        <v>11815</v>
      </c>
      <c r="F94" s="32"/>
      <c r="G94" s="23"/>
      <c r="H94" s="23"/>
      <c r="I94" s="23"/>
      <c r="J94" s="23"/>
      <c r="K94" s="23"/>
    </row>
    <row r="95" spans="1:12">
      <c r="A95" s="30" t="s">
        <v>152</v>
      </c>
      <c r="B95" s="23" t="s">
        <v>153</v>
      </c>
      <c r="C95" s="23">
        <v>339</v>
      </c>
      <c r="D95" s="23" t="s">
        <v>76</v>
      </c>
      <c r="E95" s="23">
        <v>2641</v>
      </c>
      <c r="F95" s="32"/>
      <c r="H95" s="23"/>
      <c r="I95" s="23"/>
      <c r="L95" s="44"/>
    </row>
    <row r="96" spans="1:12">
      <c r="A96" s="30" t="s">
        <v>152</v>
      </c>
      <c r="B96" s="23" t="s">
        <v>154</v>
      </c>
      <c r="C96" s="23">
        <v>340</v>
      </c>
      <c r="D96" s="23" t="s">
        <v>106</v>
      </c>
      <c r="E96" s="23">
        <v>2359</v>
      </c>
      <c r="F96" s="36"/>
      <c r="H96" s="56"/>
      <c r="L96" s="44"/>
    </row>
    <row r="97" spans="1:12" customFormat="1">
      <c r="A97" s="30" t="s">
        <v>211</v>
      </c>
      <c r="B97" s="23" t="s">
        <v>212</v>
      </c>
      <c r="C97" s="23">
        <v>341</v>
      </c>
      <c r="D97" s="23" t="s">
        <v>135</v>
      </c>
      <c r="E97" s="23">
        <v>1976</v>
      </c>
      <c r="F97" s="36"/>
      <c r="G97" s="23"/>
      <c r="H97" s="23"/>
      <c r="I97" s="23"/>
      <c r="J97" s="23"/>
      <c r="K97" s="23"/>
    </row>
    <row r="98" spans="1:12">
      <c r="A98" s="39">
        <v>45694</v>
      </c>
      <c r="B98" s="40" t="s">
        <v>100</v>
      </c>
      <c r="C98" s="41">
        <v>342</v>
      </c>
      <c r="D98" s="43" t="s">
        <v>76</v>
      </c>
      <c r="E98" s="41">
        <v>2324</v>
      </c>
      <c r="F98" s="42"/>
      <c r="G98" s="43"/>
      <c r="H98" s="43"/>
      <c r="I98" s="43"/>
      <c r="L98" s="44"/>
    </row>
    <row r="99" spans="1:12" customFormat="1">
      <c r="A99" s="39">
        <v>45753</v>
      </c>
      <c r="B99" s="40">
        <v>250167</v>
      </c>
      <c r="C99" s="33">
        <v>343</v>
      </c>
      <c r="D99" s="33" t="s">
        <v>117</v>
      </c>
      <c r="E99" s="33">
        <v>1730</v>
      </c>
      <c r="F99" s="23"/>
      <c r="G99" s="23"/>
      <c r="H99" s="23"/>
      <c r="I99" s="23"/>
      <c r="J99" s="23"/>
      <c r="K99" s="23"/>
    </row>
    <row r="100" spans="1:12">
      <c r="A100" s="37">
        <v>45783</v>
      </c>
      <c r="B100" s="33" t="s">
        <v>155</v>
      </c>
      <c r="C100" s="33">
        <v>344</v>
      </c>
      <c r="D100" s="33" t="s">
        <v>106</v>
      </c>
      <c r="E100" s="33">
        <v>3919</v>
      </c>
      <c r="H100" s="56"/>
      <c r="L100" s="44"/>
    </row>
    <row r="101" spans="1:12" customFormat="1" hidden="1">
      <c r="A101" s="49">
        <v>45906</v>
      </c>
      <c r="B101" s="48" t="s">
        <v>156</v>
      </c>
      <c r="C101" s="48">
        <v>345</v>
      </c>
      <c r="D101" s="48" t="s">
        <v>46</v>
      </c>
      <c r="E101" s="48">
        <v>9976</v>
      </c>
      <c r="F101" s="32">
        <v>45936</v>
      </c>
      <c r="G101" s="23" t="s">
        <v>31</v>
      </c>
      <c r="H101" s="23">
        <v>9976</v>
      </c>
      <c r="I101" s="23"/>
      <c r="J101" s="23"/>
      <c r="K101" s="23"/>
    </row>
    <row r="102" spans="1:12">
      <c r="A102" s="32">
        <v>45936</v>
      </c>
      <c r="B102" s="23" t="s">
        <v>158</v>
      </c>
      <c r="C102" s="33">
        <v>347</v>
      </c>
      <c r="D102" s="33" t="s">
        <v>106</v>
      </c>
      <c r="E102" s="33">
        <v>6455</v>
      </c>
      <c r="H102" s="56"/>
      <c r="L102" s="44"/>
    </row>
    <row r="103" spans="1:12">
      <c r="A103" s="32">
        <v>45936</v>
      </c>
      <c r="B103" s="23" t="s">
        <v>159</v>
      </c>
      <c r="C103" s="33">
        <v>346</v>
      </c>
      <c r="D103" s="23" t="s">
        <v>76</v>
      </c>
      <c r="E103" s="33">
        <v>4480</v>
      </c>
      <c r="H103" s="23"/>
      <c r="I103" s="23"/>
      <c r="L103" s="44"/>
    </row>
    <row r="104" spans="1:12">
      <c r="A104" s="32">
        <v>45967</v>
      </c>
      <c r="B104" s="23" t="s">
        <v>160</v>
      </c>
      <c r="C104" s="33">
        <v>348</v>
      </c>
      <c r="D104" s="33" t="s">
        <v>106</v>
      </c>
      <c r="E104" s="33">
        <v>3333</v>
      </c>
      <c r="H104" s="56"/>
      <c r="L104" s="44"/>
    </row>
    <row r="105" spans="1:12" customFormat="1" hidden="1">
      <c r="A105" s="23" t="s">
        <v>161</v>
      </c>
      <c r="B105" s="23" t="s">
        <v>162</v>
      </c>
      <c r="C105" s="33">
        <v>350</v>
      </c>
      <c r="D105" s="33" t="s">
        <v>163</v>
      </c>
      <c r="E105" s="33">
        <v>5762</v>
      </c>
      <c r="F105" s="33" t="s">
        <v>161</v>
      </c>
      <c r="G105" s="33" t="s">
        <v>28</v>
      </c>
      <c r="H105" s="50">
        <v>5762</v>
      </c>
      <c r="I105" s="23">
        <v>470</v>
      </c>
      <c r="J105" s="23"/>
      <c r="K105" s="23"/>
    </row>
    <row r="106" spans="1:12">
      <c r="A106" s="23" t="s">
        <v>164</v>
      </c>
      <c r="B106" s="23" t="s">
        <v>165</v>
      </c>
      <c r="C106" s="33">
        <v>353</v>
      </c>
      <c r="D106" s="33" t="s">
        <v>106</v>
      </c>
      <c r="E106" s="33">
        <v>6688</v>
      </c>
      <c r="H106" s="56"/>
      <c r="L106" s="44"/>
    </row>
    <row r="107" spans="1:12">
      <c r="A107" s="23" t="s">
        <v>164</v>
      </c>
      <c r="B107" s="23" t="s">
        <v>166</v>
      </c>
      <c r="C107" s="33">
        <v>351</v>
      </c>
      <c r="D107" s="33" t="s">
        <v>61</v>
      </c>
      <c r="E107" s="33">
        <v>2030</v>
      </c>
      <c r="H107" s="23"/>
      <c r="I107" s="23"/>
      <c r="L107" s="44"/>
    </row>
    <row r="108" spans="1:12" customFormat="1" hidden="1">
      <c r="A108" s="23" t="s">
        <v>164</v>
      </c>
      <c r="B108" s="23" t="s">
        <v>168</v>
      </c>
      <c r="C108" s="33">
        <v>352</v>
      </c>
      <c r="D108" s="33" t="s">
        <v>167</v>
      </c>
      <c r="E108" s="33">
        <v>3528</v>
      </c>
      <c r="F108" s="33" t="s">
        <v>164</v>
      </c>
      <c r="G108" s="33" t="s">
        <v>28</v>
      </c>
      <c r="H108" s="50">
        <v>3528</v>
      </c>
      <c r="I108" s="23">
        <v>469</v>
      </c>
      <c r="J108" s="23"/>
      <c r="K108" s="23"/>
    </row>
    <row r="109" spans="1:12">
      <c r="A109" s="23" t="s">
        <v>169</v>
      </c>
      <c r="B109" s="23" t="s">
        <v>170</v>
      </c>
      <c r="C109" s="33">
        <v>354</v>
      </c>
      <c r="D109" s="33" t="s">
        <v>61</v>
      </c>
      <c r="E109" s="33">
        <v>1151</v>
      </c>
      <c r="H109" s="23"/>
      <c r="I109" s="23"/>
      <c r="L109" s="44"/>
    </row>
    <row r="110" spans="1:12" customFormat="1" hidden="1">
      <c r="A110" s="23" t="s">
        <v>171</v>
      </c>
      <c r="B110" s="23" t="s">
        <v>172</v>
      </c>
      <c r="C110" s="23">
        <v>355</v>
      </c>
      <c r="D110" s="23" t="s">
        <v>173</v>
      </c>
      <c r="E110" s="33">
        <v>3002</v>
      </c>
      <c r="F110" s="23" t="s">
        <v>201</v>
      </c>
      <c r="G110" s="23" t="s">
        <v>28</v>
      </c>
      <c r="H110" s="23">
        <v>3002</v>
      </c>
      <c r="I110" s="23"/>
      <c r="J110" s="23"/>
      <c r="K110" s="23"/>
    </row>
    <row r="111" spans="1:12" customFormat="1">
      <c r="A111" s="23" t="s">
        <v>174</v>
      </c>
      <c r="B111" s="23">
        <v>473</v>
      </c>
      <c r="C111" s="23">
        <v>356</v>
      </c>
      <c r="D111" s="23" t="s">
        <v>175</v>
      </c>
      <c r="E111" s="33">
        <v>5512</v>
      </c>
      <c r="F111" s="23"/>
      <c r="G111" s="23"/>
      <c r="H111" s="23"/>
      <c r="I111" s="23"/>
      <c r="J111" s="23"/>
      <c r="K111" s="23"/>
    </row>
    <row r="112" spans="1:12">
      <c r="A112" s="23" t="s">
        <v>176</v>
      </c>
      <c r="B112" s="23" t="s">
        <v>177</v>
      </c>
      <c r="C112" s="23">
        <v>357</v>
      </c>
      <c r="D112" s="23" t="s">
        <v>106</v>
      </c>
      <c r="E112" s="33">
        <v>6141</v>
      </c>
      <c r="H112" s="56"/>
      <c r="L112" s="44"/>
    </row>
    <row r="113" spans="1:12" customFormat="1">
      <c r="A113" s="23" t="s">
        <v>176</v>
      </c>
      <c r="B113" s="23" t="s">
        <v>178</v>
      </c>
      <c r="C113" s="23">
        <v>358</v>
      </c>
      <c r="D113" s="23" t="s">
        <v>173</v>
      </c>
      <c r="E113" s="33">
        <v>5985</v>
      </c>
      <c r="F113" s="23"/>
      <c r="G113" s="23"/>
      <c r="H113" s="23"/>
      <c r="I113" s="23"/>
      <c r="J113" s="23"/>
      <c r="K113" s="23"/>
    </row>
    <row r="114" spans="1:12" customFormat="1">
      <c r="A114" s="23" t="s">
        <v>176</v>
      </c>
      <c r="B114" s="23" t="s">
        <v>179</v>
      </c>
      <c r="C114" s="23">
        <v>359</v>
      </c>
      <c r="D114" s="23" t="s">
        <v>180</v>
      </c>
      <c r="E114" s="33">
        <v>2160</v>
      </c>
      <c r="F114" s="23"/>
      <c r="G114" s="23"/>
      <c r="H114" s="23"/>
      <c r="I114" s="23"/>
      <c r="J114" s="23"/>
      <c r="K114" s="23"/>
    </row>
    <row r="115" spans="1:12" customFormat="1">
      <c r="A115" s="23" t="s">
        <v>176</v>
      </c>
      <c r="B115" s="23" t="s">
        <v>181</v>
      </c>
      <c r="C115" s="23">
        <v>360</v>
      </c>
      <c r="D115" s="23" t="s">
        <v>180</v>
      </c>
      <c r="E115" s="33">
        <v>2399</v>
      </c>
      <c r="F115" s="23"/>
      <c r="G115" s="23"/>
      <c r="H115" s="23"/>
      <c r="I115" s="23"/>
      <c r="J115" s="23"/>
      <c r="K115" s="23"/>
    </row>
    <row r="116" spans="1:12" customFormat="1" hidden="1">
      <c r="A116" s="23" t="s">
        <v>185</v>
      </c>
      <c r="B116" s="23" t="s">
        <v>182</v>
      </c>
      <c r="C116" s="23">
        <v>361</v>
      </c>
      <c r="D116" s="23" t="s">
        <v>183</v>
      </c>
      <c r="E116" s="33">
        <v>2456</v>
      </c>
      <c r="F116" s="23" t="s">
        <v>185</v>
      </c>
      <c r="G116" s="23" t="s">
        <v>28</v>
      </c>
      <c r="H116" s="23">
        <v>2456</v>
      </c>
      <c r="I116" s="23" t="s">
        <v>235</v>
      </c>
      <c r="J116" s="23"/>
      <c r="K116" s="23"/>
    </row>
    <row r="117" spans="1:12" customFormat="1">
      <c r="A117" s="23" t="s">
        <v>185</v>
      </c>
      <c r="B117" s="23" t="s">
        <v>184</v>
      </c>
      <c r="C117" s="23">
        <v>362</v>
      </c>
      <c r="D117" s="23" t="s">
        <v>180</v>
      </c>
      <c r="E117" s="33">
        <v>3898</v>
      </c>
      <c r="F117" s="23"/>
      <c r="G117" s="23"/>
      <c r="H117" s="23"/>
      <c r="I117" s="23"/>
      <c r="J117" s="23"/>
      <c r="K117" s="23"/>
    </row>
    <row r="118" spans="1:12" customFormat="1">
      <c r="A118" s="23" t="s">
        <v>185</v>
      </c>
      <c r="B118" s="23" t="s">
        <v>186</v>
      </c>
      <c r="C118" s="23">
        <v>364</v>
      </c>
      <c r="D118" s="23" t="s">
        <v>180</v>
      </c>
      <c r="E118" s="33">
        <v>9270</v>
      </c>
      <c r="F118" s="23"/>
      <c r="G118" s="23"/>
      <c r="H118" s="23"/>
      <c r="I118" s="23"/>
      <c r="J118" s="23"/>
      <c r="K118" s="23"/>
    </row>
    <row r="119" spans="1:12" customFormat="1">
      <c r="A119" s="23" t="s">
        <v>185</v>
      </c>
      <c r="B119" s="23" t="s">
        <v>187</v>
      </c>
      <c r="C119" s="23">
        <v>365</v>
      </c>
      <c r="D119" s="23" t="s">
        <v>188</v>
      </c>
      <c r="E119" s="33">
        <v>3912</v>
      </c>
      <c r="F119" s="23"/>
      <c r="G119" s="23"/>
      <c r="H119" s="23"/>
      <c r="I119" s="23"/>
      <c r="J119" s="23" t="s">
        <v>243</v>
      </c>
      <c r="K119" s="23"/>
    </row>
    <row r="120" spans="1:12" customFormat="1">
      <c r="A120" s="23" t="s">
        <v>185</v>
      </c>
      <c r="B120" s="23" t="s">
        <v>189</v>
      </c>
      <c r="C120" s="23">
        <v>363</v>
      </c>
      <c r="D120" s="23" t="s">
        <v>121</v>
      </c>
      <c r="E120" s="33">
        <v>1837</v>
      </c>
      <c r="F120" s="23"/>
      <c r="G120" s="23"/>
      <c r="H120" s="23"/>
      <c r="I120" s="23"/>
      <c r="J120" s="23"/>
      <c r="K120" s="23"/>
    </row>
    <row r="121" spans="1:12" customFormat="1">
      <c r="A121" s="23" t="s">
        <v>191</v>
      </c>
      <c r="B121" s="23" t="s">
        <v>190</v>
      </c>
      <c r="C121" s="23">
        <v>368</v>
      </c>
      <c r="D121" s="23" t="s">
        <v>180</v>
      </c>
      <c r="E121" s="33">
        <v>4988</v>
      </c>
      <c r="F121" s="23"/>
      <c r="G121" s="23"/>
      <c r="H121" s="23"/>
      <c r="I121" s="23"/>
      <c r="J121" s="23"/>
      <c r="K121" s="23"/>
    </row>
    <row r="122" spans="1:12" customFormat="1">
      <c r="A122" s="23" t="s">
        <v>191</v>
      </c>
      <c r="B122" s="23" t="s">
        <v>192</v>
      </c>
      <c r="C122" s="23">
        <v>366</v>
      </c>
      <c r="D122" s="23" t="s">
        <v>180</v>
      </c>
      <c r="E122" s="33">
        <v>1846</v>
      </c>
      <c r="F122" s="23"/>
      <c r="G122" s="23"/>
      <c r="H122" s="23"/>
      <c r="I122" s="23"/>
      <c r="J122" s="23"/>
      <c r="K122" s="23"/>
    </row>
    <row r="123" spans="1:12" customFormat="1">
      <c r="A123" s="23" t="s">
        <v>191</v>
      </c>
      <c r="B123" s="23" t="s">
        <v>193</v>
      </c>
      <c r="C123" s="23">
        <v>367</v>
      </c>
      <c r="D123" s="23" t="s">
        <v>180</v>
      </c>
      <c r="E123" s="33">
        <v>9376</v>
      </c>
      <c r="F123" s="23"/>
      <c r="G123" s="23"/>
      <c r="H123" s="23"/>
      <c r="I123" s="23"/>
      <c r="J123" s="23"/>
      <c r="K123" s="23"/>
    </row>
    <row r="124" spans="1:12">
      <c r="A124" s="23" t="s">
        <v>191</v>
      </c>
      <c r="B124" s="23" t="s">
        <v>194</v>
      </c>
      <c r="C124" s="23">
        <v>369</v>
      </c>
      <c r="D124" s="23" t="s">
        <v>106</v>
      </c>
      <c r="E124" s="33">
        <v>1573</v>
      </c>
      <c r="H124" s="56"/>
      <c r="L124" s="44"/>
    </row>
    <row r="125" spans="1:12" customFormat="1">
      <c r="A125" s="23" t="s">
        <v>195</v>
      </c>
      <c r="B125" s="23" t="s">
        <v>196</v>
      </c>
      <c r="C125" s="23">
        <v>370</v>
      </c>
      <c r="D125" s="23" t="s">
        <v>180</v>
      </c>
      <c r="E125" s="33">
        <v>6361</v>
      </c>
      <c r="F125" s="23"/>
      <c r="G125" s="23"/>
      <c r="H125" s="23"/>
      <c r="I125" s="23"/>
      <c r="J125" s="23"/>
      <c r="K125" s="23"/>
    </row>
    <row r="126" spans="1:12" customFormat="1">
      <c r="A126" s="23" t="s">
        <v>197</v>
      </c>
      <c r="B126" s="23" t="s">
        <v>198</v>
      </c>
      <c r="C126" s="23">
        <v>371</v>
      </c>
      <c r="D126" s="23" t="s">
        <v>180</v>
      </c>
      <c r="E126" s="33">
        <v>3552</v>
      </c>
      <c r="F126" s="23"/>
      <c r="G126" s="23"/>
      <c r="H126" s="23"/>
      <c r="I126" s="23"/>
      <c r="J126" s="23"/>
      <c r="K126" s="23"/>
    </row>
    <row r="127" spans="1:12">
      <c r="E127" s="51">
        <f>SUM(E2:E126)</f>
        <v>585345</v>
      </c>
      <c r="H127" s="51">
        <f>SUM(H2:H126)</f>
        <v>176443</v>
      </c>
      <c r="I127" s="23"/>
      <c r="L127" s="44"/>
    </row>
    <row r="128" spans="1:12" hidden="1">
      <c r="A128" s="32">
        <v>45876</v>
      </c>
      <c r="B128" s="23" t="s">
        <v>237</v>
      </c>
      <c r="C128" s="23">
        <v>376</v>
      </c>
      <c r="D128" s="23" t="s">
        <v>106</v>
      </c>
      <c r="E128" s="52">
        <v>7213</v>
      </c>
      <c r="F128" s="23" t="s">
        <v>239</v>
      </c>
      <c r="G128" s="23" t="s">
        <v>240</v>
      </c>
      <c r="H128" s="34">
        <v>7213</v>
      </c>
      <c r="I128" s="56">
        <v>17434688</v>
      </c>
      <c r="L128" s="44"/>
    </row>
    <row r="129" spans="4:8">
      <c r="D129" s="54" t="s">
        <v>236</v>
      </c>
      <c r="E129" s="54">
        <f>SUBTOTAL(9,E6:E128)</f>
        <v>965153</v>
      </c>
      <c r="H129" s="62">
        <f>SUBTOTAL(9,H6:H128)</f>
        <v>193433</v>
      </c>
    </row>
  </sheetData>
  <autoFilter ref="A1:I128">
    <filterColumn colId="3"/>
    <filterColumn colId="5">
      <filters blank="1"/>
    </filterColumn>
    <filterColumn colId="6"/>
  </autoFilter>
  <pageMargins left="0.35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APRIL2025</vt:lpstr>
      <vt:lpstr>MAY2025</vt:lpstr>
      <vt:lpstr>June 2025</vt:lpstr>
      <vt:lpstr>JULY 2025</vt:lpstr>
      <vt:lpstr>SUMMARY OF PENDING BILLS</vt:lpstr>
      <vt:lpstr>aprilo to june</vt:lpstr>
      <vt:lpstr>'aprilo to june'!Print_Area</vt:lpstr>
      <vt:lpstr>'SUMMARY OF PENDING BILLS'!Print_Area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2025-08-07T10:46:06Z</dcterms:modified>
</cp:coreProperties>
</file>